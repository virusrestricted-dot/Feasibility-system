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bangi\Downloads\"/>
    </mc:Choice>
  </mc:AlternateContent>
  <xr:revisionPtr revIDLastSave="0" documentId="13_ncr:1_{FBC3B1DF-A18D-48BD-9E2A-1B05B3B4BA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nual pop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5" i="1" l="1"/>
  <c r="Q115" i="1"/>
  <c r="P115" i="1"/>
  <c r="I115" i="1"/>
  <c r="H115" i="1"/>
  <c r="G115" i="1"/>
  <c r="F115" i="1"/>
  <c r="E115" i="1"/>
  <c r="C115" i="1"/>
  <c r="B115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4" i="1" l="1"/>
  <c r="S88" i="1"/>
  <c r="S61" i="1"/>
</calcChain>
</file>

<file path=xl/sharedStrings.xml><?xml version="1.0" encoding="utf-8"?>
<sst xmlns="http://schemas.openxmlformats.org/spreadsheetml/2006/main" count="193" uniqueCount="61">
  <si>
    <t>Republic of the Philippines</t>
  </si>
  <si>
    <t>Province of Surigao del Sur</t>
  </si>
  <si>
    <t>MUNICIPALITY OF BAROBO</t>
  </si>
  <si>
    <t>MUNICIPAL HEALTH OFFICE</t>
  </si>
  <si>
    <t>ANNUAL POPULATION SURVEY OF THE FIRST QUARTER OF 2024</t>
  </si>
  <si>
    <t xml:space="preserve">MALE </t>
  </si>
  <si>
    <t>BARANGAY</t>
  </si>
  <si>
    <t>1-28 days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</si>
  <si>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</si>
  <si>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</si>
  <si>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</si>
  <si>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</si>
  <si>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</si>
  <si>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</si>
  <si>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</si>
  <si>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</si>
  <si>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</si>
  <si>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</si>
  <si>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</si>
  <si>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</si>
  <si>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</si>
  <si>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</si>
  <si>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</si>
  <si>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TOTAL</t>
  </si>
  <si>
    <t>AMAGA</t>
  </si>
  <si>
    <t>BAHI</t>
  </si>
  <si>
    <t>CABACUNGAN</t>
  </si>
  <si>
    <t>CAMPBAGANG</t>
  </si>
  <si>
    <t>CAUSWAGAN</t>
  </si>
  <si>
    <t>DAPDAP</t>
  </si>
  <si>
    <t>DUGHAN</t>
  </si>
  <si>
    <t>GAMUT</t>
  </si>
  <si>
    <t>GUINHALINAN</t>
  </si>
  <si>
    <t>JAVIER</t>
  </si>
  <si>
    <t>KINAYAN</t>
  </si>
  <si>
    <t>MAMIS</t>
  </si>
  <si>
    <t>POBLACION</t>
  </si>
  <si>
    <t>RIZAL</t>
  </si>
  <si>
    <t>SAN JOSE</t>
  </si>
  <si>
    <t>SAN ROQUE</t>
  </si>
  <si>
    <t>SAN VICENTE</t>
  </si>
  <si>
    <t>SUA</t>
  </si>
  <si>
    <t>SUDLON</t>
  </si>
  <si>
    <t>TAMBIS</t>
  </si>
  <si>
    <t>UNIDAD</t>
  </si>
  <si>
    <t>WAKAT</t>
  </si>
  <si>
    <t>FEMALE</t>
  </si>
  <si>
    <t>BOTH MALE AND FEMALE</t>
  </si>
  <si>
    <t>ACCESS TO SAFE WATER</t>
  </si>
  <si>
    <t># HH</t>
  </si>
  <si>
    <t># FAMILIES</t>
  </si>
  <si>
    <t>WRA</t>
  </si>
  <si>
    <t>HH W/ST</t>
  </si>
  <si>
    <t>FAM.REG. 4PS</t>
  </si>
  <si>
    <t>NHTS</t>
  </si>
  <si>
    <t>LEVEL 1</t>
  </si>
  <si>
    <t>LEVEL II</t>
  </si>
  <si>
    <t>LEVEL III</t>
  </si>
  <si>
    <t>GUINHALIAN</t>
  </si>
  <si>
    <t>29-11 
mos</t>
  </si>
  <si>
    <t>HH W/O 
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</si>
</sst>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1" xfId="0" applyFont="1" applyBorder="1"/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2" xfId="0" applyFont="1" applyBorder="1"/>
    <xf numFmtId="0" fontId="0" fillId="2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16" fontId="9" fillId="6" borderId="1" xfId="0" quotePrefix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10" fillId="0" borderId="0" xfId="0" applyFont="1"/>
    <xf numFmtId="0" fontId="11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126206</xdr:colOff>
      <xdr:row>0</xdr:row>
      <xdr:rowOff>155734</xdr:rowOff>
    </xdr:from>
    <xdr:to>
      <xdr:col>5</xdr:col>
      <xdr:colOff>515937</xdr:colOff>
      <xdr:row>4</xdr:row>
      <xdr:rowOff>69374</xdr:rowOff>
    </xdr:to>
    <xdr:pic>
      <xdr:nvPicPr>
        <xdr:cNvPr id="2" name="Picture 1" descr="Municipality of Barobo - RB T-shirt, Tarpaulin Printing and Advertis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6675" y="155734"/>
          <a:ext cx="846137" cy="82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289718</xdr:colOff>
      <xdr:row>0</xdr:row>
      <xdr:rowOff>158828</xdr:rowOff>
    </xdr:from>
    <xdr:to>
      <xdr:col>12</xdr:col>
      <xdr:colOff>188515</xdr:colOff>
      <xdr:row>4</xdr:row>
      <xdr:rowOff>73110</xdr:rowOff>
    </xdr:to>
    <xdr:pic>
      <xdr:nvPicPr>
        <xdr:cNvPr id="3" name="Picture 2" descr="Municipal Health Office-Barobo, Surigao del Sur | Faceboo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55890" y="158828"/>
          <a:ext cx="871141" cy="827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abSelected="1" topLeftCell="A91" zoomScale="96" zoomScaleNormal="96" workbookViewId="0">
      <selection activeCell="H105" sqref="H105"/>
    </sheetView>
  </sheetViews>
  <sheetFormatPr defaultColWidth="11" defaultRowHeight="15.75"/>
  <cols>
    <col min="1" max="1" width="11.625" customWidth="1"/>
    <col min="2" max="2" width="7.625" customWidth="1"/>
    <col min="3" max="3" width="7.125" customWidth="1"/>
    <col min="4" max="4" width="6.125" customWidth="1"/>
    <col min="5" max="5" width="6" customWidth="1"/>
    <col min="6" max="6" width="7" customWidth="1"/>
    <col min="7" max="7" width="7.25" customWidth="1"/>
    <col min="8" max="8" width="6.75" customWidth="1"/>
    <col min="9" max="9" width="6.5" customWidth="1"/>
    <col min="10" max="10" width="6.875" customWidth="1"/>
    <col min="11" max="11" width="6.25" customWidth="1"/>
    <col min="12" max="12" width="6.5" customWidth="1"/>
    <col min="13" max="13" width="5.375" customWidth="1"/>
    <col min="14" max="14" width="5.625" customWidth="1"/>
    <col min="15" max="15" width="6.5" customWidth="1"/>
    <col min="16" max="16" width="5.875" customWidth="1"/>
    <col min="17" max="17" width="6" customWidth="1"/>
    <col min="18" max="18" width="6.625" customWidth="1"/>
    <col min="19" max="19" width="7.2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.7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2"/>
      <c r="T2" s="2"/>
    </row>
    <row r="3" spans="1:20" ht="18.7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2"/>
      <c r="T3" s="2"/>
    </row>
    <row r="4" spans="1:20" ht="18.75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3" t="s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44" t="s">
        <v>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"/>
      <c r="T8" s="2"/>
    </row>
    <row r="9" spans="1:20">
      <c r="A9" s="20" t="s">
        <v>47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20" ht="11.25" customHeight="1">
      <c r="A10" s="9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0" ht="30">
      <c r="A11" s="16" t="s">
        <v>6</v>
      </c>
      <c r="B11" s="15" t="s">
        <v>7</v>
      </c>
      <c r="C11" s="23" t="s">
        <v>59</v>
      </c>
      <c r="D11" s="16" t="s">
        <v>8</v>
      </c>
      <c r="E11" s="16" t="s">
        <v>9</v>
      </c>
      <c r="F11" s="16" t="s">
        <v>10</v>
      </c>
      <c r="G11" s="16" t="s">
        <v>11</v>
      </c>
      <c r="H11" s="16" t="s">
        <v>12</v>
      </c>
      <c r="I11" s="16" t="s">
        <v>13</v>
      </c>
      <c r="J11" s="16" t="s">
        <v>14</v>
      </c>
      <c r="K11" s="16" t="s">
        <v>15</v>
      </c>
      <c r="L11" s="16" t="s">
        <v>16</v>
      </c>
      <c r="M11" s="16" t="s">
        <v>17</v>
      </c>
      <c r="N11" s="16" t="s">
        <v>18</v>
      </c>
      <c r="O11" s="16" t="s">
        <v>19</v>
      </c>
      <c r="P11" s="16" t="s">
        <v>20</v>
      </c>
      <c r="Q11" s="16" t="s">
        <v>21</v>
      </c>
      <c r="R11" s="16" t="s">
        <v>22</v>
      </c>
      <c r="S11" s="16" t="s">
        <v>23</v>
      </c>
    </row>
    <row r="12" spans="1:20">
      <c r="A12" s="4" t="s">
        <v>24</v>
      </c>
      <c r="B12" s="6">
        <v>12</v>
      </c>
      <c r="C12" s="6">
        <v>40</v>
      </c>
      <c r="D12" s="6">
        <v>226</v>
      </c>
      <c r="E12" s="6">
        <v>364</v>
      </c>
      <c r="F12" s="6">
        <v>380</v>
      </c>
      <c r="G12" s="6">
        <v>359</v>
      </c>
      <c r="H12" s="6">
        <v>374</v>
      </c>
      <c r="I12" s="6">
        <v>320</v>
      </c>
      <c r="J12" s="6">
        <v>322</v>
      </c>
      <c r="K12" s="6">
        <v>219</v>
      </c>
      <c r="L12" s="6">
        <v>185</v>
      </c>
      <c r="M12" s="6">
        <v>136</v>
      </c>
      <c r="N12" s="6">
        <v>165</v>
      </c>
      <c r="O12" s="6">
        <v>138</v>
      </c>
      <c r="P12" s="6">
        <v>118</v>
      </c>
      <c r="Q12" s="6">
        <v>87</v>
      </c>
      <c r="R12" s="6">
        <v>104</v>
      </c>
      <c r="S12" s="6">
        <f>SUM(B12:R12)</f>
        <v>3549</v>
      </c>
    </row>
    <row r="13" spans="1:20">
      <c r="A13" s="4" t="s">
        <v>25</v>
      </c>
      <c r="B13" s="6">
        <v>5</v>
      </c>
      <c r="C13" s="6">
        <v>33</v>
      </c>
      <c r="D13" s="6">
        <v>182</v>
      </c>
      <c r="E13" s="6">
        <v>269</v>
      </c>
      <c r="F13" s="6">
        <v>306</v>
      </c>
      <c r="G13" s="6">
        <v>228</v>
      </c>
      <c r="H13" s="6">
        <v>227</v>
      </c>
      <c r="I13" s="6">
        <v>212</v>
      </c>
      <c r="J13" s="6">
        <v>239</v>
      </c>
      <c r="K13" s="6">
        <v>182</v>
      </c>
      <c r="L13" s="6">
        <v>118</v>
      </c>
      <c r="M13" s="6">
        <v>117</v>
      </c>
      <c r="N13" s="6">
        <v>98</v>
      </c>
      <c r="O13" s="6">
        <v>85</v>
      </c>
      <c r="P13" s="6">
        <v>59</v>
      </c>
      <c r="Q13" s="6">
        <v>40</v>
      </c>
      <c r="R13" s="6">
        <v>60</v>
      </c>
      <c r="S13" s="6">
        <f t="shared" ref="S13:S18" si="0">SUM(B13:R13)</f>
        <v>2460</v>
      </c>
    </row>
    <row r="14" spans="1:20">
      <c r="A14" s="4" t="s">
        <v>26</v>
      </c>
      <c r="B14" s="6">
        <v>4</v>
      </c>
      <c r="C14" s="6">
        <v>35</v>
      </c>
      <c r="D14" s="6">
        <v>146</v>
      </c>
      <c r="E14" s="6">
        <v>203</v>
      </c>
      <c r="F14" s="6">
        <v>210</v>
      </c>
      <c r="G14" s="6">
        <v>229</v>
      </c>
      <c r="H14" s="6">
        <v>154</v>
      </c>
      <c r="I14" s="6">
        <v>161</v>
      </c>
      <c r="J14" s="6">
        <v>114</v>
      </c>
      <c r="K14" s="6">
        <v>102</v>
      </c>
      <c r="L14" s="6">
        <v>96</v>
      </c>
      <c r="M14" s="6">
        <v>96</v>
      </c>
      <c r="N14" s="6">
        <v>59</v>
      </c>
      <c r="O14" s="6">
        <v>65</v>
      </c>
      <c r="P14" s="6">
        <v>40</v>
      </c>
      <c r="Q14" s="6">
        <v>70</v>
      </c>
      <c r="R14" s="6">
        <v>62</v>
      </c>
      <c r="S14" s="6">
        <f t="shared" si="0"/>
        <v>1846</v>
      </c>
    </row>
    <row r="15" spans="1:20">
      <c r="A15" s="4" t="s">
        <v>27</v>
      </c>
      <c r="B15" s="6">
        <v>6</v>
      </c>
      <c r="C15" s="6">
        <v>40</v>
      </c>
      <c r="D15" s="6">
        <v>201</v>
      </c>
      <c r="E15" s="6">
        <v>273</v>
      </c>
      <c r="F15" s="6">
        <v>355</v>
      </c>
      <c r="G15" s="6">
        <v>301</v>
      </c>
      <c r="H15" s="6">
        <v>257</v>
      </c>
      <c r="I15" s="6">
        <v>245</v>
      </c>
      <c r="J15" s="6">
        <v>247</v>
      </c>
      <c r="K15" s="6">
        <v>184</v>
      </c>
      <c r="L15" s="6">
        <v>153</v>
      </c>
      <c r="M15" s="6">
        <v>128</v>
      </c>
      <c r="N15" s="6">
        <v>134</v>
      </c>
      <c r="O15" s="6">
        <v>93</v>
      </c>
      <c r="P15" s="6">
        <v>66</v>
      </c>
      <c r="Q15" s="6">
        <v>37</v>
      </c>
      <c r="R15" s="6">
        <v>90</v>
      </c>
      <c r="S15" s="6">
        <f t="shared" si="0"/>
        <v>2810</v>
      </c>
    </row>
    <row r="16" spans="1:20">
      <c r="A16" s="4" t="s">
        <v>28</v>
      </c>
      <c r="B16" s="6">
        <v>0</v>
      </c>
      <c r="C16" s="6">
        <v>14</v>
      </c>
      <c r="D16" s="6">
        <v>53</v>
      </c>
      <c r="E16" s="6">
        <v>79</v>
      </c>
      <c r="F16" s="6">
        <v>69</v>
      </c>
      <c r="G16" s="6">
        <v>61</v>
      </c>
      <c r="H16" s="6">
        <v>68</v>
      </c>
      <c r="I16" s="6">
        <v>65</v>
      </c>
      <c r="J16" s="6">
        <v>49</v>
      </c>
      <c r="K16" s="6">
        <v>50</v>
      </c>
      <c r="L16" s="6">
        <v>49</v>
      </c>
      <c r="M16" s="6">
        <v>35</v>
      </c>
      <c r="N16" s="6">
        <v>24</v>
      </c>
      <c r="O16" s="6">
        <v>28</v>
      </c>
      <c r="P16" s="6">
        <v>28</v>
      </c>
      <c r="Q16" s="6">
        <v>20</v>
      </c>
      <c r="R16" s="6">
        <v>21</v>
      </c>
      <c r="S16" s="6">
        <f t="shared" si="0"/>
        <v>713</v>
      </c>
    </row>
    <row r="17" spans="1:19">
      <c r="A17" s="4" t="s">
        <v>29</v>
      </c>
      <c r="B17" s="6">
        <v>3</v>
      </c>
      <c r="C17" s="6">
        <v>16</v>
      </c>
      <c r="D17" s="6">
        <v>119</v>
      </c>
      <c r="E17" s="6">
        <v>190</v>
      </c>
      <c r="F17" s="6">
        <v>193</v>
      </c>
      <c r="G17" s="6">
        <v>191</v>
      </c>
      <c r="H17" s="6">
        <v>178</v>
      </c>
      <c r="I17" s="6">
        <v>145</v>
      </c>
      <c r="J17" s="6">
        <v>163</v>
      </c>
      <c r="K17" s="6">
        <v>110</v>
      </c>
      <c r="L17" s="6">
        <v>106</v>
      </c>
      <c r="M17" s="6">
        <v>81</v>
      </c>
      <c r="N17" s="6">
        <v>85</v>
      </c>
      <c r="O17" s="6">
        <v>70</v>
      </c>
      <c r="P17" s="6">
        <v>63</v>
      </c>
      <c r="Q17" s="6">
        <v>46</v>
      </c>
      <c r="R17" s="6">
        <v>64</v>
      </c>
      <c r="S17" s="6">
        <f t="shared" si="0"/>
        <v>1823</v>
      </c>
    </row>
    <row r="18" spans="1:19">
      <c r="A18" s="4" t="s">
        <v>30</v>
      </c>
      <c r="B18" s="6">
        <v>3</v>
      </c>
      <c r="C18" s="6">
        <v>24</v>
      </c>
      <c r="D18" s="6">
        <v>127</v>
      </c>
      <c r="E18" s="6">
        <v>177</v>
      </c>
      <c r="F18" s="6">
        <v>203</v>
      </c>
      <c r="G18" s="6">
        <v>255</v>
      </c>
      <c r="H18" s="6">
        <v>126</v>
      </c>
      <c r="I18" s="6">
        <v>141</v>
      </c>
      <c r="J18" s="6">
        <v>137</v>
      </c>
      <c r="K18" s="6">
        <v>115</v>
      </c>
      <c r="L18" s="6">
        <v>71</v>
      </c>
      <c r="M18" s="6">
        <v>70</v>
      </c>
      <c r="N18" s="6">
        <v>63</v>
      </c>
      <c r="O18" s="6">
        <v>56</v>
      </c>
      <c r="P18" s="6">
        <v>46</v>
      </c>
      <c r="Q18" s="6">
        <v>31</v>
      </c>
      <c r="R18" s="6">
        <v>46</v>
      </c>
      <c r="S18" s="6">
        <f t="shared" si="0"/>
        <v>1691</v>
      </c>
    </row>
    <row r="19" spans="1:19">
      <c r="A19" s="4" t="s">
        <v>31</v>
      </c>
      <c r="B19" s="1">
        <v>16</v>
      </c>
      <c r="C19" s="1">
        <v>51</v>
      </c>
      <c r="D19" s="1">
        <v>307</v>
      </c>
      <c r="E19" s="1">
        <v>394</v>
      </c>
      <c r="F19" s="1">
        <v>455</v>
      </c>
      <c r="G19" s="1">
        <v>410</v>
      </c>
      <c r="H19" s="1">
        <v>378</v>
      </c>
      <c r="I19" s="1">
        <v>329</v>
      </c>
      <c r="J19" s="1">
        <v>276</v>
      </c>
      <c r="K19" s="1">
        <v>249</v>
      </c>
      <c r="L19" s="1">
        <v>210</v>
      </c>
      <c r="M19" s="1">
        <v>185</v>
      </c>
      <c r="N19" s="1">
        <v>165</v>
      </c>
      <c r="O19" s="1">
        <v>135</v>
      </c>
      <c r="P19" s="1">
        <v>121</v>
      </c>
      <c r="Q19" s="1">
        <v>118</v>
      </c>
      <c r="R19" s="1">
        <v>188</v>
      </c>
      <c r="S19" s="1">
        <f t="shared" ref="S19:S24" si="1">SUM(B19:R19)</f>
        <v>3987</v>
      </c>
    </row>
    <row r="20" spans="1:19">
      <c r="A20" s="4" t="s">
        <v>32</v>
      </c>
      <c r="B20" s="6">
        <v>0</v>
      </c>
      <c r="C20" s="6">
        <v>32</v>
      </c>
      <c r="D20" s="6">
        <v>121</v>
      </c>
      <c r="E20" s="6">
        <v>184</v>
      </c>
      <c r="F20" s="6">
        <v>220</v>
      </c>
      <c r="G20" s="6">
        <v>197</v>
      </c>
      <c r="H20" s="6">
        <v>161</v>
      </c>
      <c r="I20" s="6">
        <v>167</v>
      </c>
      <c r="J20" s="6">
        <v>138</v>
      </c>
      <c r="K20" s="6">
        <v>124</v>
      </c>
      <c r="L20" s="6">
        <v>86</v>
      </c>
      <c r="M20" s="6">
        <v>90</v>
      </c>
      <c r="N20" s="6">
        <v>54</v>
      </c>
      <c r="O20" s="6">
        <v>60</v>
      </c>
      <c r="P20" s="6">
        <v>37</v>
      </c>
      <c r="Q20" s="6">
        <v>38</v>
      </c>
      <c r="R20" s="6">
        <v>54</v>
      </c>
      <c r="S20" s="6">
        <f t="shared" si="1"/>
        <v>1763</v>
      </c>
    </row>
    <row r="21" spans="1:19">
      <c r="A21" s="4" t="s">
        <v>33</v>
      </c>
      <c r="B21" s="6">
        <v>6</v>
      </c>
      <c r="C21" s="6">
        <v>36</v>
      </c>
      <c r="D21" s="6">
        <v>129</v>
      </c>
      <c r="E21" s="6">
        <v>245</v>
      </c>
      <c r="F21" s="6">
        <v>294</v>
      </c>
      <c r="G21" s="6">
        <v>270</v>
      </c>
      <c r="H21" s="6">
        <v>261</v>
      </c>
      <c r="I21" s="6">
        <v>227</v>
      </c>
      <c r="J21" s="6">
        <v>198</v>
      </c>
      <c r="K21" s="6">
        <v>156</v>
      </c>
      <c r="L21" s="6">
        <v>133</v>
      </c>
      <c r="M21" s="6">
        <v>133</v>
      </c>
      <c r="N21" s="6">
        <v>112</v>
      </c>
      <c r="O21" s="6">
        <v>102</v>
      </c>
      <c r="P21" s="6">
        <v>78</v>
      </c>
      <c r="Q21" s="6">
        <v>57</v>
      </c>
      <c r="R21" s="6">
        <v>100</v>
      </c>
      <c r="S21" s="6">
        <f t="shared" si="1"/>
        <v>2537</v>
      </c>
    </row>
    <row r="22" spans="1:19">
      <c r="A22" s="4" t="s">
        <v>34</v>
      </c>
      <c r="B22" s="6">
        <v>2</v>
      </c>
      <c r="C22" s="6">
        <v>27</v>
      </c>
      <c r="D22" s="6">
        <v>110</v>
      </c>
      <c r="E22" s="6">
        <v>154</v>
      </c>
      <c r="F22" s="6">
        <v>186</v>
      </c>
      <c r="G22" s="6">
        <v>162</v>
      </c>
      <c r="H22" s="6">
        <v>124</v>
      </c>
      <c r="I22" s="6">
        <v>110</v>
      </c>
      <c r="J22" s="6">
        <v>119</v>
      </c>
      <c r="K22" s="6">
        <v>101</v>
      </c>
      <c r="L22" s="6">
        <v>67</v>
      </c>
      <c r="M22" s="6">
        <v>53</v>
      </c>
      <c r="N22" s="6">
        <v>61</v>
      </c>
      <c r="O22" s="6">
        <v>53</v>
      </c>
      <c r="P22" s="6">
        <v>48</v>
      </c>
      <c r="Q22" s="6">
        <v>31</v>
      </c>
      <c r="R22" s="6">
        <v>51</v>
      </c>
      <c r="S22" s="6">
        <f t="shared" si="1"/>
        <v>1459</v>
      </c>
    </row>
    <row r="23" spans="1:19">
      <c r="A23" s="4" t="s">
        <v>35</v>
      </c>
      <c r="B23" s="6">
        <v>1</v>
      </c>
      <c r="C23" s="6">
        <v>10</v>
      </c>
      <c r="D23" s="6">
        <v>48</v>
      </c>
      <c r="E23" s="6">
        <v>79</v>
      </c>
      <c r="F23" s="6">
        <v>96</v>
      </c>
      <c r="G23" s="6">
        <v>59</v>
      </c>
      <c r="H23" s="6">
        <v>71</v>
      </c>
      <c r="I23" s="6">
        <v>61</v>
      </c>
      <c r="J23" s="6">
        <v>65</v>
      </c>
      <c r="K23" s="6">
        <v>48</v>
      </c>
      <c r="L23" s="6">
        <v>25</v>
      </c>
      <c r="M23" s="6">
        <v>45</v>
      </c>
      <c r="N23" s="6">
        <v>35</v>
      </c>
      <c r="O23" s="6">
        <v>32</v>
      </c>
      <c r="P23" s="6">
        <v>24</v>
      </c>
      <c r="Q23" s="6">
        <v>13</v>
      </c>
      <c r="R23" s="6">
        <v>19</v>
      </c>
      <c r="S23" s="6">
        <f t="shared" si="1"/>
        <v>731</v>
      </c>
    </row>
    <row r="24" spans="1:19">
      <c r="A24" s="4" t="s">
        <v>36</v>
      </c>
      <c r="B24" s="1">
        <v>10</v>
      </c>
      <c r="C24" s="1">
        <v>202</v>
      </c>
      <c r="D24" s="1">
        <v>873</v>
      </c>
      <c r="E24" s="1">
        <v>1292</v>
      </c>
      <c r="F24" s="1">
        <v>1451</v>
      </c>
      <c r="G24" s="1">
        <v>1512</v>
      </c>
      <c r="H24" s="1">
        <v>1332</v>
      </c>
      <c r="I24" s="1">
        <v>1119</v>
      </c>
      <c r="J24" s="1">
        <v>1065</v>
      </c>
      <c r="K24" s="1">
        <v>891</v>
      </c>
      <c r="L24" s="1">
        <v>813</v>
      </c>
      <c r="M24" s="1">
        <v>681</v>
      </c>
      <c r="N24" s="1">
        <v>633</v>
      </c>
      <c r="O24" s="1">
        <v>557</v>
      </c>
      <c r="P24" s="1">
        <v>455</v>
      </c>
      <c r="Q24" s="1">
        <v>357</v>
      </c>
      <c r="R24" s="1">
        <v>424</v>
      </c>
      <c r="S24" s="1">
        <f t="shared" si="1"/>
        <v>13667</v>
      </c>
    </row>
    <row r="25" spans="1:19">
      <c r="A25" s="4" t="s">
        <v>37</v>
      </c>
      <c r="B25" s="6">
        <v>2</v>
      </c>
      <c r="C25" s="6">
        <v>37</v>
      </c>
      <c r="D25" s="6">
        <v>127</v>
      </c>
      <c r="E25" s="6">
        <v>228</v>
      </c>
      <c r="F25" s="6">
        <v>247</v>
      </c>
      <c r="G25" s="6">
        <v>237</v>
      </c>
      <c r="H25" s="6">
        <v>181</v>
      </c>
      <c r="I25" s="6">
        <v>169</v>
      </c>
      <c r="J25" s="6">
        <v>169</v>
      </c>
      <c r="K25" s="6">
        <v>129</v>
      </c>
      <c r="L25" s="6">
        <v>110</v>
      </c>
      <c r="M25" s="6">
        <v>73</v>
      </c>
      <c r="N25" s="6">
        <v>75</v>
      </c>
      <c r="O25" s="6">
        <v>81</v>
      </c>
      <c r="P25" s="6">
        <v>60</v>
      </c>
      <c r="Q25" s="6">
        <v>43</v>
      </c>
      <c r="R25" s="6">
        <v>56</v>
      </c>
      <c r="S25" s="6">
        <f t="shared" ref="S25:S33" si="2">SUM(B25:R25)</f>
        <v>2024</v>
      </c>
    </row>
    <row r="26" spans="1:19">
      <c r="A26" s="4" t="s">
        <v>38</v>
      </c>
      <c r="B26" s="6">
        <v>1</v>
      </c>
      <c r="C26" s="6">
        <v>11</v>
      </c>
      <c r="D26" s="6">
        <v>92</v>
      </c>
      <c r="E26" s="6">
        <v>125</v>
      </c>
      <c r="F26" s="6">
        <v>146</v>
      </c>
      <c r="G26" s="6">
        <v>130</v>
      </c>
      <c r="H26" s="6">
        <v>140</v>
      </c>
      <c r="I26" s="6">
        <v>108</v>
      </c>
      <c r="J26" s="6">
        <v>94</v>
      </c>
      <c r="K26" s="6">
        <v>88</v>
      </c>
      <c r="L26" s="6">
        <v>69</v>
      </c>
      <c r="M26" s="6">
        <v>58</v>
      </c>
      <c r="N26" s="6">
        <v>62</v>
      </c>
      <c r="O26" s="6">
        <v>59</v>
      </c>
      <c r="P26" s="6">
        <v>36</v>
      </c>
      <c r="Q26" s="6">
        <v>33</v>
      </c>
      <c r="R26" s="6">
        <v>36</v>
      </c>
      <c r="S26" s="6">
        <f t="shared" si="2"/>
        <v>1288</v>
      </c>
    </row>
    <row r="27" spans="1:19">
      <c r="A27" s="4" t="s">
        <v>39</v>
      </c>
      <c r="B27" s="6">
        <v>0</v>
      </c>
      <c r="C27" s="6">
        <v>9</v>
      </c>
      <c r="D27" s="6">
        <v>49</v>
      </c>
      <c r="E27" s="6">
        <v>112</v>
      </c>
      <c r="F27" s="6">
        <v>104</v>
      </c>
      <c r="G27" s="6">
        <v>97</v>
      </c>
      <c r="H27" s="6">
        <v>79</v>
      </c>
      <c r="I27" s="6">
        <v>81</v>
      </c>
      <c r="J27" s="6">
        <v>65</v>
      </c>
      <c r="K27" s="6">
        <v>80</v>
      </c>
      <c r="L27" s="6">
        <v>71</v>
      </c>
      <c r="M27" s="6">
        <v>45</v>
      </c>
      <c r="N27" s="6">
        <v>32</v>
      </c>
      <c r="O27" s="6">
        <v>32</v>
      </c>
      <c r="P27" s="6">
        <v>31</v>
      </c>
      <c r="Q27" s="6">
        <v>35</v>
      </c>
      <c r="R27" s="6">
        <v>48</v>
      </c>
      <c r="S27" s="6">
        <f>SUM(B27:R27)</f>
        <v>970</v>
      </c>
    </row>
    <row r="28" spans="1:19">
      <c r="A28" s="4" t="s">
        <v>40</v>
      </c>
      <c r="B28" s="6">
        <v>0</v>
      </c>
      <c r="C28" s="6">
        <v>23</v>
      </c>
      <c r="D28" s="6">
        <v>109</v>
      </c>
      <c r="E28" s="6">
        <v>130</v>
      </c>
      <c r="F28" s="6">
        <v>161</v>
      </c>
      <c r="G28" s="6">
        <v>151</v>
      </c>
      <c r="H28" s="6">
        <v>133</v>
      </c>
      <c r="I28" s="6">
        <v>139</v>
      </c>
      <c r="J28" s="6">
        <v>110</v>
      </c>
      <c r="K28" s="6">
        <v>84</v>
      </c>
      <c r="L28" s="6">
        <v>95</v>
      </c>
      <c r="M28" s="6">
        <v>72</v>
      </c>
      <c r="N28" s="6">
        <v>58</v>
      </c>
      <c r="O28" s="6">
        <v>56</v>
      </c>
      <c r="P28" s="6">
        <v>53</v>
      </c>
      <c r="Q28" s="6">
        <v>34</v>
      </c>
      <c r="R28" s="6">
        <v>53</v>
      </c>
      <c r="S28" s="6">
        <f t="shared" si="2"/>
        <v>1461</v>
      </c>
    </row>
    <row r="29" spans="1:19">
      <c r="A29" s="4" t="s">
        <v>41</v>
      </c>
      <c r="B29" s="6">
        <v>0</v>
      </c>
      <c r="C29" s="6">
        <v>16</v>
      </c>
      <c r="D29" s="6">
        <v>77</v>
      </c>
      <c r="E29" s="6">
        <v>117</v>
      </c>
      <c r="F29" s="6">
        <v>159</v>
      </c>
      <c r="G29" s="6">
        <v>120</v>
      </c>
      <c r="H29" s="6">
        <v>104</v>
      </c>
      <c r="I29" s="6">
        <v>99</v>
      </c>
      <c r="J29" s="6">
        <v>91</v>
      </c>
      <c r="K29" s="6">
        <v>78</v>
      </c>
      <c r="L29" s="6">
        <v>78</v>
      </c>
      <c r="M29" s="6">
        <v>46</v>
      </c>
      <c r="N29" s="6">
        <v>52</v>
      </c>
      <c r="O29" s="6">
        <v>39</v>
      </c>
      <c r="P29" s="6">
        <v>24</v>
      </c>
      <c r="Q29" s="6">
        <v>23</v>
      </c>
      <c r="R29" s="6">
        <v>31</v>
      </c>
      <c r="S29" s="6">
        <f t="shared" si="2"/>
        <v>1154</v>
      </c>
    </row>
    <row r="30" spans="1:19">
      <c r="A30" s="4" t="s">
        <v>42</v>
      </c>
      <c r="B30" s="6">
        <v>3</v>
      </c>
      <c r="C30" s="6">
        <v>11</v>
      </c>
      <c r="D30" s="6">
        <v>25</v>
      </c>
      <c r="E30" s="6">
        <v>56</v>
      </c>
      <c r="F30" s="6">
        <v>50</v>
      </c>
      <c r="G30" s="6">
        <v>44</v>
      </c>
      <c r="H30" s="6">
        <v>40</v>
      </c>
      <c r="I30" s="6">
        <v>42</v>
      </c>
      <c r="J30" s="6">
        <v>47</v>
      </c>
      <c r="K30" s="6">
        <v>29</v>
      </c>
      <c r="L30" s="6">
        <v>9</v>
      </c>
      <c r="M30" s="6">
        <v>15</v>
      </c>
      <c r="N30" s="6">
        <v>29</v>
      </c>
      <c r="O30" s="6">
        <v>25</v>
      </c>
      <c r="P30" s="6">
        <v>19</v>
      </c>
      <c r="Q30" s="6">
        <v>11</v>
      </c>
      <c r="R30" s="6">
        <v>22</v>
      </c>
      <c r="S30" s="6">
        <f t="shared" si="2"/>
        <v>477</v>
      </c>
    </row>
    <row r="31" spans="1:19">
      <c r="A31" s="4" t="s">
        <v>43</v>
      </c>
      <c r="B31" s="5">
        <v>10</v>
      </c>
      <c r="C31" s="5">
        <v>120</v>
      </c>
      <c r="D31" s="5">
        <v>528</v>
      </c>
      <c r="E31" s="5">
        <v>759</v>
      </c>
      <c r="F31" s="5">
        <v>798</v>
      </c>
      <c r="G31" s="5">
        <v>744</v>
      </c>
      <c r="H31" s="5">
        <v>702</v>
      </c>
      <c r="I31" s="5">
        <v>629</v>
      </c>
      <c r="J31" s="5">
        <v>546</v>
      </c>
      <c r="K31" s="5">
        <v>461</v>
      </c>
      <c r="L31" s="5">
        <v>409</v>
      </c>
      <c r="M31" s="5">
        <v>345</v>
      </c>
      <c r="N31" s="5">
        <v>273</v>
      </c>
      <c r="O31" s="5">
        <v>245</v>
      </c>
      <c r="P31" s="5">
        <v>178</v>
      </c>
      <c r="Q31" s="5">
        <v>117</v>
      </c>
      <c r="R31" s="5">
        <v>150</v>
      </c>
      <c r="S31" s="5">
        <f>SUM(B31:R31)</f>
        <v>7014</v>
      </c>
    </row>
    <row r="32" spans="1:19">
      <c r="A32" s="4" t="s">
        <v>44</v>
      </c>
      <c r="B32" s="6">
        <v>0</v>
      </c>
      <c r="C32" s="6">
        <v>7</v>
      </c>
      <c r="D32" s="6">
        <v>69</v>
      </c>
      <c r="E32" s="6">
        <v>101</v>
      </c>
      <c r="F32" s="6">
        <v>152</v>
      </c>
      <c r="G32" s="6">
        <v>116</v>
      </c>
      <c r="H32" s="6">
        <v>118</v>
      </c>
      <c r="I32" s="6">
        <v>102</v>
      </c>
      <c r="J32" s="6">
        <v>116</v>
      </c>
      <c r="K32" s="6">
        <v>84</v>
      </c>
      <c r="L32" s="6">
        <v>78</v>
      </c>
      <c r="M32" s="6">
        <v>54</v>
      </c>
      <c r="N32" s="6">
        <v>57</v>
      </c>
      <c r="O32" s="6">
        <v>38</v>
      </c>
      <c r="P32" s="6">
        <v>30</v>
      </c>
      <c r="Q32" s="6">
        <v>29</v>
      </c>
      <c r="R32" s="6">
        <v>38</v>
      </c>
      <c r="S32" s="6">
        <f t="shared" si="2"/>
        <v>1189</v>
      </c>
    </row>
    <row r="33" spans="1:20">
      <c r="A33" s="4" t="s">
        <v>45</v>
      </c>
      <c r="B33" s="6">
        <v>2</v>
      </c>
      <c r="C33" s="6">
        <v>40</v>
      </c>
      <c r="D33" s="6">
        <v>186</v>
      </c>
      <c r="E33" s="6">
        <v>352</v>
      </c>
      <c r="F33" s="6">
        <v>398</v>
      </c>
      <c r="G33" s="6">
        <v>369</v>
      </c>
      <c r="H33" s="6">
        <v>299</v>
      </c>
      <c r="I33" s="6">
        <v>245</v>
      </c>
      <c r="J33" s="6">
        <v>278</v>
      </c>
      <c r="K33" s="6">
        <v>247</v>
      </c>
      <c r="L33" s="6">
        <v>161</v>
      </c>
      <c r="M33" s="6">
        <v>148</v>
      </c>
      <c r="N33" s="6">
        <v>118</v>
      </c>
      <c r="O33" s="6">
        <v>100</v>
      </c>
      <c r="P33" s="6">
        <v>93</v>
      </c>
      <c r="Q33" s="6">
        <v>73</v>
      </c>
      <c r="R33" s="6">
        <v>78</v>
      </c>
      <c r="S33" s="6">
        <f t="shared" si="2"/>
        <v>3187</v>
      </c>
    </row>
    <row r="34" spans="1:20">
      <c r="A34" s="18" t="s">
        <v>23</v>
      </c>
      <c r="B34" s="18">
        <f t="shared" ref="B34:R34" si="3">SUM(B12:B33)</f>
        <v>86</v>
      </c>
      <c r="C34" s="18">
        <f t="shared" si="3"/>
        <v>834</v>
      </c>
      <c r="D34" s="18">
        <f t="shared" si="3"/>
        <v>3904</v>
      </c>
      <c r="E34" s="18">
        <f t="shared" si="3"/>
        <v>5883</v>
      </c>
      <c r="F34" s="18">
        <f t="shared" si="3"/>
        <v>6633</v>
      </c>
      <c r="G34" s="18">
        <f t="shared" si="3"/>
        <v>6242</v>
      </c>
      <c r="H34" s="18">
        <f t="shared" si="3"/>
        <v>5507</v>
      </c>
      <c r="I34" s="18">
        <f t="shared" si="3"/>
        <v>4916</v>
      </c>
      <c r="J34" s="18">
        <f t="shared" si="3"/>
        <v>4648</v>
      </c>
      <c r="K34" s="18">
        <f t="shared" si="3"/>
        <v>3811</v>
      </c>
      <c r="L34" s="18">
        <f t="shared" si="3"/>
        <v>3192</v>
      </c>
      <c r="M34" s="18">
        <f t="shared" si="3"/>
        <v>2706</v>
      </c>
      <c r="N34" s="18">
        <f t="shared" si="3"/>
        <v>2444</v>
      </c>
      <c r="O34" s="18">
        <f t="shared" si="3"/>
        <v>2149</v>
      </c>
      <c r="P34" s="18">
        <f t="shared" si="3"/>
        <v>1707</v>
      </c>
      <c r="Q34" s="18">
        <f t="shared" si="3"/>
        <v>1343</v>
      </c>
      <c r="R34" s="18">
        <f t="shared" si="3"/>
        <v>1795</v>
      </c>
      <c r="S34" s="18">
        <f>SUM(B34:R34)</f>
        <v>57800</v>
      </c>
    </row>
    <row r="36" spans="1:20">
      <c r="A36" s="3" t="s">
        <v>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1.25" customHeight="1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30">
      <c r="A38" s="14" t="s">
        <v>6</v>
      </c>
      <c r="B38" s="15" t="s">
        <v>7</v>
      </c>
      <c r="C38" s="23" t="s">
        <v>59</v>
      </c>
      <c r="D38" s="16" t="s">
        <v>8</v>
      </c>
      <c r="E38" s="16" t="s">
        <v>9</v>
      </c>
      <c r="F38" s="16" t="s">
        <v>10</v>
      </c>
      <c r="G38" s="16" t="s">
        <v>11</v>
      </c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17</v>
      </c>
      <c r="N38" s="16" t="s">
        <v>18</v>
      </c>
      <c r="O38" s="16" t="s">
        <v>19</v>
      </c>
      <c r="P38" s="16" t="s">
        <v>20</v>
      </c>
      <c r="Q38" s="16" t="s">
        <v>21</v>
      </c>
      <c r="R38" s="16" t="s">
        <v>22</v>
      </c>
      <c r="S38" s="16" t="s">
        <v>23</v>
      </c>
      <c r="T38" s="2"/>
    </row>
    <row r="39" spans="1:20">
      <c r="A39" s="4" t="s">
        <v>24</v>
      </c>
      <c r="B39" s="6">
        <v>8</v>
      </c>
      <c r="C39" s="6">
        <v>17</v>
      </c>
      <c r="D39" s="6">
        <v>128</v>
      </c>
      <c r="E39" s="6">
        <v>189</v>
      </c>
      <c r="F39" s="6">
        <v>205</v>
      </c>
      <c r="G39" s="6">
        <v>170</v>
      </c>
      <c r="H39" s="6">
        <v>202</v>
      </c>
      <c r="I39" s="6">
        <v>176</v>
      </c>
      <c r="J39" s="6">
        <v>175</v>
      </c>
      <c r="K39" s="6">
        <v>119</v>
      </c>
      <c r="L39" s="6">
        <v>95</v>
      </c>
      <c r="M39" s="6">
        <v>75</v>
      </c>
      <c r="N39" s="6">
        <v>74</v>
      </c>
      <c r="O39" s="6">
        <v>84</v>
      </c>
      <c r="P39" s="6">
        <v>64</v>
      </c>
      <c r="Q39" s="6">
        <v>42</v>
      </c>
      <c r="R39" s="6">
        <v>49</v>
      </c>
      <c r="S39" s="6">
        <f t="shared" ref="S39:S50" si="4">SUM(B39:R39)</f>
        <v>1872</v>
      </c>
      <c r="T39" s="2"/>
    </row>
    <row r="40" spans="1:20">
      <c r="A40" s="4" t="s">
        <v>25</v>
      </c>
      <c r="B40" s="6">
        <v>4</v>
      </c>
      <c r="C40" s="6">
        <v>16</v>
      </c>
      <c r="D40" s="6">
        <v>101</v>
      </c>
      <c r="E40" s="6">
        <v>136</v>
      </c>
      <c r="F40" s="6">
        <v>148</v>
      </c>
      <c r="G40" s="6">
        <v>114</v>
      </c>
      <c r="H40" s="6">
        <v>105</v>
      </c>
      <c r="I40" s="6">
        <v>110</v>
      </c>
      <c r="J40" s="6">
        <v>136</v>
      </c>
      <c r="K40" s="6">
        <v>107</v>
      </c>
      <c r="L40" s="6">
        <v>70</v>
      </c>
      <c r="M40" s="6">
        <v>50</v>
      </c>
      <c r="N40" s="6">
        <v>48</v>
      </c>
      <c r="O40" s="6">
        <v>45</v>
      </c>
      <c r="P40" s="6">
        <v>36</v>
      </c>
      <c r="Q40" s="6">
        <v>21</v>
      </c>
      <c r="R40" s="6">
        <v>25</v>
      </c>
      <c r="S40" s="6">
        <f t="shared" si="4"/>
        <v>1272</v>
      </c>
      <c r="T40" s="2"/>
    </row>
    <row r="41" spans="1:20">
      <c r="A41" s="4" t="s">
        <v>26</v>
      </c>
      <c r="B41" s="6">
        <v>3</v>
      </c>
      <c r="C41" s="6">
        <v>18</v>
      </c>
      <c r="D41" s="6">
        <v>76</v>
      </c>
      <c r="E41" s="6">
        <v>101</v>
      </c>
      <c r="F41" s="6">
        <v>114</v>
      </c>
      <c r="G41" s="6">
        <v>107</v>
      </c>
      <c r="H41" s="6">
        <v>77</v>
      </c>
      <c r="I41" s="6">
        <v>85</v>
      </c>
      <c r="J41" s="6">
        <v>66</v>
      </c>
      <c r="K41" s="6">
        <v>52</v>
      </c>
      <c r="L41" s="6">
        <v>50</v>
      </c>
      <c r="M41" s="6">
        <v>53</v>
      </c>
      <c r="N41" s="6">
        <v>31</v>
      </c>
      <c r="O41" s="6">
        <v>34</v>
      </c>
      <c r="P41" s="6">
        <v>21</v>
      </c>
      <c r="Q41" s="6">
        <v>34</v>
      </c>
      <c r="R41" s="6">
        <v>31</v>
      </c>
      <c r="S41" s="6">
        <f t="shared" si="4"/>
        <v>953</v>
      </c>
      <c r="T41" s="2"/>
    </row>
    <row r="42" spans="1:20">
      <c r="A42" s="4" t="s">
        <v>27</v>
      </c>
      <c r="B42" s="6">
        <v>1</v>
      </c>
      <c r="C42" s="6">
        <v>20</v>
      </c>
      <c r="D42" s="6">
        <v>104</v>
      </c>
      <c r="E42" s="6">
        <v>135</v>
      </c>
      <c r="F42" s="6">
        <v>184</v>
      </c>
      <c r="G42" s="6">
        <v>158</v>
      </c>
      <c r="H42" s="6">
        <v>131</v>
      </c>
      <c r="I42" s="6">
        <v>127</v>
      </c>
      <c r="J42" s="6">
        <v>128</v>
      </c>
      <c r="K42" s="6">
        <v>110</v>
      </c>
      <c r="L42" s="6">
        <v>80</v>
      </c>
      <c r="M42" s="6">
        <v>55</v>
      </c>
      <c r="N42" s="6">
        <v>73</v>
      </c>
      <c r="O42" s="6">
        <v>52</v>
      </c>
      <c r="P42" s="6">
        <v>36</v>
      </c>
      <c r="Q42" s="6">
        <v>19</v>
      </c>
      <c r="R42" s="6">
        <v>39</v>
      </c>
      <c r="S42" s="6">
        <f t="shared" si="4"/>
        <v>1452</v>
      </c>
      <c r="T42" s="2"/>
    </row>
    <row r="43" spans="1:20">
      <c r="A43" s="4" t="s">
        <v>28</v>
      </c>
      <c r="B43" s="6">
        <v>0</v>
      </c>
      <c r="C43" s="6">
        <v>6</v>
      </c>
      <c r="D43" s="6">
        <v>29</v>
      </c>
      <c r="E43" s="6">
        <v>48</v>
      </c>
      <c r="F43" s="6">
        <v>41</v>
      </c>
      <c r="G43" s="6">
        <v>30</v>
      </c>
      <c r="H43" s="6">
        <v>39</v>
      </c>
      <c r="I43" s="6">
        <v>35</v>
      </c>
      <c r="J43" s="6">
        <v>26</v>
      </c>
      <c r="K43" s="6">
        <v>32</v>
      </c>
      <c r="L43" s="6">
        <v>23</v>
      </c>
      <c r="M43" s="6">
        <v>18</v>
      </c>
      <c r="N43" s="6">
        <v>14</v>
      </c>
      <c r="O43" s="6">
        <v>17</v>
      </c>
      <c r="P43" s="6">
        <v>17</v>
      </c>
      <c r="Q43" s="6">
        <v>8</v>
      </c>
      <c r="R43" s="6">
        <v>9</v>
      </c>
      <c r="S43" s="6">
        <f t="shared" si="4"/>
        <v>392</v>
      </c>
      <c r="T43" s="2"/>
    </row>
    <row r="44" spans="1:20">
      <c r="A44" s="4" t="s">
        <v>29</v>
      </c>
      <c r="B44" s="6">
        <v>2</v>
      </c>
      <c r="C44" s="6">
        <v>10</v>
      </c>
      <c r="D44" s="6">
        <v>81</v>
      </c>
      <c r="E44" s="6">
        <v>88</v>
      </c>
      <c r="F44" s="6">
        <v>104</v>
      </c>
      <c r="G44" s="6">
        <v>106</v>
      </c>
      <c r="H44" s="6">
        <v>96</v>
      </c>
      <c r="I44" s="6">
        <v>60</v>
      </c>
      <c r="J44" s="6">
        <v>85</v>
      </c>
      <c r="K44" s="6">
        <v>70</v>
      </c>
      <c r="L44" s="6">
        <v>55</v>
      </c>
      <c r="M44" s="6">
        <v>40</v>
      </c>
      <c r="N44" s="6">
        <v>46</v>
      </c>
      <c r="O44" s="6">
        <v>34</v>
      </c>
      <c r="P44" s="6">
        <v>27</v>
      </c>
      <c r="Q44" s="6">
        <v>27</v>
      </c>
      <c r="R44" s="6">
        <v>33</v>
      </c>
      <c r="S44" s="6">
        <f t="shared" si="4"/>
        <v>964</v>
      </c>
      <c r="T44" s="2"/>
    </row>
    <row r="45" spans="1:20">
      <c r="A45" s="4" t="s">
        <v>30</v>
      </c>
      <c r="B45" s="6">
        <v>2</v>
      </c>
      <c r="C45" s="6">
        <v>17</v>
      </c>
      <c r="D45" s="6">
        <v>63</v>
      </c>
      <c r="E45" s="6">
        <v>89</v>
      </c>
      <c r="F45" s="6">
        <v>109</v>
      </c>
      <c r="G45" s="6">
        <v>90</v>
      </c>
      <c r="H45" s="6">
        <v>70</v>
      </c>
      <c r="I45" s="6">
        <v>69</v>
      </c>
      <c r="J45" s="6">
        <v>73</v>
      </c>
      <c r="K45" s="6">
        <v>62</v>
      </c>
      <c r="L45" s="6">
        <v>43</v>
      </c>
      <c r="M45" s="6">
        <v>31</v>
      </c>
      <c r="N45" s="6">
        <v>32</v>
      </c>
      <c r="O45" s="6">
        <v>29</v>
      </c>
      <c r="P45" s="6">
        <v>20</v>
      </c>
      <c r="Q45" s="6">
        <v>17</v>
      </c>
      <c r="R45" s="6">
        <v>25</v>
      </c>
      <c r="S45" s="6">
        <f t="shared" si="4"/>
        <v>841</v>
      </c>
      <c r="T45" s="2"/>
    </row>
    <row r="46" spans="1:20">
      <c r="A46" s="4" t="s">
        <v>31</v>
      </c>
      <c r="B46" s="1">
        <v>11</v>
      </c>
      <c r="C46" s="1">
        <v>24</v>
      </c>
      <c r="D46" s="1">
        <v>192</v>
      </c>
      <c r="E46" s="1">
        <v>202</v>
      </c>
      <c r="F46" s="1">
        <v>239</v>
      </c>
      <c r="G46" s="1">
        <v>217</v>
      </c>
      <c r="H46" s="1">
        <v>211</v>
      </c>
      <c r="I46" s="1">
        <v>178</v>
      </c>
      <c r="J46" s="1">
        <v>135</v>
      </c>
      <c r="K46" s="1">
        <v>146</v>
      </c>
      <c r="L46" s="1">
        <v>114</v>
      </c>
      <c r="M46" s="1">
        <v>109</v>
      </c>
      <c r="N46" s="1">
        <v>82</v>
      </c>
      <c r="O46" s="1">
        <v>74</v>
      </c>
      <c r="P46" s="1">
        <v>49</v>
      </c>
      <c r="Q46" s="1">
        <v>59</v>
      </c>
      <c r="R46" s="1">
        <v>78</v>
      </c>
      <c r="S46" s="1">
        <f>SUM(B46:R46)</f>
        <v>2120</v>
      </c>
      <c r="T46" s="2"/>
    </row>
    <row r="47" spans="1:20">
      <c r="A47" s="4" t="s">
        <v>32</v>
      </c>
      <c r="B47" s="6">
        <v>0</v>
      </c>
      <c r="C47" s="6">
        <v>16</v>
      </c>
      <c r="D47" s="6">
        <v>61</v>
      </c>
      <c r="E47" s="6">
        <v>88</v>
      </c>
      <c r="F47" s="6">
        <v>113</v>
      </c>
      <c r="G47" s="6">
        <v>97</v>
      </c>
      <c r="H47" s="6">
        <v>88</v>
      </c>
      <c r="I47" s="6">
        <v>92</v>
      </c>
      <c r="J47" s="6">
        <v>74</v>
      </c>
      <c r="K47" s="6">
        <v>67</v>
      </c>
      <c r="L47" s="6">
        <v>54</v>
      </c>
      <c r="M47" s="6">
        <v>47</v>
      </c>
      <c r="N47" s="6">
        <v>28</v>
      </c>
      <c r="O47" s="6">
        <v>35</v>
      </c>
      <c r="P47" s="6">
        <v>15</v>
      </c>
      <c r="Q47" s="6">
        <v>23</v>
      </c>
      <c r="R47" s="6">
        <v>24</v>
      </c>
      <c r="S47" s="6">
        <f t="shared" si="4"/>
        <v>922</v>
      </c>
      <c r="T47" s="2"/>
    </row>
    <row r="48" spans="1:20">
      <c r="A48" s="4" t="s">
        <v>33</v>
      </c>
      <c r="B48" s="6">
        <v>5</v>
      </c>
      <c r="C48" s="6">
        <v>22</v>
      </c>
      <c r="D48" s="6">
        <v>65</v>
      </c>
      <c r="E48" s="6">
        <v>136</v>
      </c>
      <c r="F48" s="6">
        <v>157</v>
      </c>
      <c r="G48" s="6">
        <v>144</v>
      </c>
      <c r="H48" s="6">
        <v>129</v>
      </c>
      <c r="I48" s="6">
        <v>128</v>
      </c>
      <c r="J48" s="6">
        <v>99</v>
      </c>
      <c r="K48" s="6">
        <v>77</v>
      </c>
      <c r="L48" s="6">
        <v>79</v>
      </c>
      <c r="M48" s="6">
        <v>68</v>
      </c>
      <c r="N48" s="6">
        <v>66</v>
      </c>
      <c r="O48" s="6">
        <v>50</v>
      </c>
      <c r="P48" s="6">
        <v>44</v>
      </c>
      <c r="Q48" s="6">
        <v>32</v>
      </c>
      <c r="R48" s="6">
        <v>46</v>
      </c>
      <c r="S48" s="6">
        <f t="shared" si="4"/>
        <v>1347</v>
      </c>
      <c r="T48" s="2"/>
    </row>
    <row r="49" spans="1:20">
      <c r="A49" s="4" t="s">
        <v>34</v>
      </c>
      <c r="B49" s="6">
        <v>2</v>
      </c>
      <c r="C49" s="6">
        <v>17</v>
      </c>
      <c r="D49" s="6">
        <v>62</v>
      </c>
      <c r="E49" s="6">
        <v>82</v>
      </c>
      <c r="F49" s="6">
        <v>101</v>
      </c>
      <c r="G49" s="6">
        <v>90</v>
      </c>
      <c r="H49" s="6">
        <v>60</v>
      </c>
      <c r="I49" s="6">
        <v>63</v>
      </c>
      <c r="J49" s="6">
        <v>64</v>
      </c>
      <c r="K49" s="6">
        <v>53</v>
      </c>
      <c r="L49" s="6">
        <v>35</v>
      </c>
      <c r="M49" s="6">
        <v>26</v>
      </c>
      <c r="N49" s="6">
        <v>29</v>
      </c>
      <c r="O49" s="6">
        <v>27</v>
      </c>
      <c r="P49" s="6">
        <v>22</v>
      </c>
      <c r="Q49" s="6">
        <v>15</v>
      </c>
      <c r="R49" s="6">
        <v>21</v>
      </c>
      <c r="S49" s="6">
        <f t="shared" si="4"/>
        <v>769</v>
      </c>
      <c r="T49" s="2"/>
    </row>
    <row r="50" spans="1:20">
      <c r="A50" s="4" t="s">
        <v>35</v>
      </c>
      <c r="B50" s="6">
        <v>1</v>
      </c>
      <c r="C50" s="6">
        <v>1</v>
      </c>
      <c r="D50" s="6">
        <v>30</v>
      </c>
      <c r="E50" s="6">
        <v>37</v>
      </c>
      <c r="F50" s="6">
        <v>56</v>
      </c>
      <c r="G50" s="6">
        <v>28</v>
      </c>
      <c r="H50" s="6">
        <v>36</v>
      </c>
      <c r="I50" s="6">
        <v>34</v>
      </c>
      <c r="J50" s="6">
        <v>30</v>
      </c>
      <c r="K50" s="6">
        <v>29</v>
      </c>
      <c r="L50" s="6">
        <v>15</v>
      </c>
      <c r="M50" s="6">
        <v>23</v>
      </c>
      <c r="N50" s="6">
        <v>13</v>
      </c>
      <c r="O50" s="6">
        <v>15</v>
      </c>
      <c r="P50" s="6">
        <v>15</v>
      </c>
      <c r="Q50" s="6">
        <v>9</v>
      </c>
      <c r="R50" s="6">
        <v>7</v>
      </c>
      <c r="S50" s="6">
        <f t="shared" si="4"/>
        <v>379</v>
      </c>
      <c r="T50" s="2"/>
    </row>
    <row r="51" spans="1:20">
      <c r="A51" s="4" t="s">
        <v>36</v>
      </c>
      <c r="B51" s="1">
        <v>7</v>
      </c>
      <c r="C51" s="1">
        <v>100</v>
      </c>
      <c r="D51" s="1">
        <v>455</v>
      </c>
      <c r="E51" s="1">
        <v>664</v>
      </c>
      <c r="F51" s="1">
        <v>767</v>
      </c>
      <c r="G51" s="1">
        <v>776</v>
      </c>
      <c r="H51" s="1">
        <v>711</v>
      </c>
      <c r="I51" s="1">
        <v>587</v>
      </c>
      <c r="J51" s="1">
        <v>531</v>
      </c>
      <c r="K51" s="1">
        <v>446</v>
      </c>
      <c r="L51" s="1">
        <v>428</v>
      </c>
      <c r="M51" s="1">
        <v>352</v>
      </c>
      <c r="N51" s="1">
        <v>313</v>
      </c>
      <c r="O51" s="1">
        <v>275</v>
      </c>
      <c r="P51" s="1">
        <v>213</v>
      </c>
      <c r="Q51" s="1">
        <v>166</v>
      </c>
      <c r="R51" s="1">
        <v>191</v>
      </c>
      <c r="S51" s="1">
        <f>SUM(B51:R51)</f>
        <v>6982</v>
      </c>
      <c r="T51" s="2"/>
    </row>
    <row r="52" spans="1:20">
      <c r="A52" s="4" t="s">
        <v>37</v>
      </c>
      <c r="B52" s="6">
        <v>2</v>
      </c>
      <c r="C52" s="6">
        <v>21</v>
      </c>
      <c r="D52" s="6">
        <v>80</v>
      </c>
      <c r="E52" s="6">
        <v>118</v>
      </c>
      <c r="F52" s="6">
        <v>132</v>
      </c>
      <c r="G52" s="6">
        <v>129</v>
      </c>
      <c r="H52" s="6">
        <v>89</v>
      </c>
      <c r="I52" s="6">
        <v>90</v>
      </c>
      <c r="J52" s="6">
        <v>90</v>
      </c>
      <c r="K52" s="6">
        <v>62</v>
      </c>
      <c r="L52" s="6">
        <v>58</v>
      </c>
      <c r="M52" s="6">
        <v>36</v>
      </c>
      <c r="N52" s="6">
        <v>41</v>
      </c>
      <c r="O52" s="6">
        <v>43</v>
      </c>
      <c r="P52" s="6">
        <v>30</v>
      </c>
      <c r="Q52" s="6">
        <v>25</v>
      </c>
      <c r="R52" s="6">
        <v>30</v>
      </c>
      <c r="S52" s="6">
        <f t="shared" ref="S52:S60" si="5">SUM(B52:R52)</f>
        <v>1076</v>
      </c>
      <c r="T52" s="2"/>
    </row>
    <row r="53" spans="1:20">
      <c r="A53" s="4" t="s">
        <v>38</v>
      </c>
      <c r="B53" s="6">
        <v>0</v>
      </c>
      <c r="C53" s="6">
        <v>11</v>
      </c>
      <c r="D53" s="6">
        <v>44</v>
      </c>
      <c r="E53" s="6">
        <v>62</v>
      </c>
      <c r="F53" s="6">
        <v>66</v>
      </c>
      <c r="G53" s="6">
        <v>61</v>
      </c>
      <c r="H53" s="6">
        <v>71</v>
      </c>
      <c r="I53" s="6">
        <v>52</v>
      </c>
      <c r="J53" s="6">
        <v>57</v>
      </c>
      <c r="K53" s="6">
        <v>49</v>
      </c>
      <c r="L53" s="6">
        <v>38</v>
      </c>
      <c r="M53" s="6">
        <v>27</v>
      </c>
      <c r="N53" s="6">
        <v>34</v>
      </c>
      <c r="O53" s="6">
        <v>32</v>
      </c>
      <c r="P53" s="6">
        <v>19</v>
      </c>
      <c r="Q53" s="6">
        <v>22</v>
      </c>
      <c r="R53" s="6">
        <v>16</v>
      </c>
      <c r="S53" s="6">
        <f t="shared" si="5"/>
        <v>661</v>
      </c>
      <c r="T53" s="2"/>
    </row>
    <row r="54" spans="1:20">
      <c r="A54" s="4" t="s">
        <v>39</v>
      </c>
      <c r="B54" s="6">
        <v>0</v>
      </c>
      <c r="C54" s="6">
        <v>5</v>
      </c>
      <c r="D54" s="6">
        <v>25</v>
      </c>
      <c r="E54" s="6">
        <v>59</v>
      </c>
      <c r="F54" s="6">
        <v>41</v>
      </c>
      <c r="G54" s="6">
        <v>43</v>
      </c>
      <c r="H54" s="6">
        <v>38</v>
      </c>
      <c r="I54" s="6">
        <v>46</v>
      </c>
      <c r="J54" s="6">
        <v>36</v>
      </c>
      <c r="K54" s="6">
        <v>31</v>
      </c>
      <c r="L54" s="6">
        <v>46</v>
      </c>
      <c r="M54" s="6">
        <v>23</v>
      </c>
      <c r="N54" s="6">
        <v>19</v>
      </c>
      <c r="O54" s="6">
        <v>16</v>
      </c>
      <c r="P54" s="6">
        <v>14</v>
      </c>
      <c r="Q54" s="6">
        <v>17</v>
      </c>
      <c r="R54" s="6">
        <v>21</v>
      </c>
      <c r="S54" s="6">
        <f t="shared" si="5"/>
        <v>480</v>
      </c>
      <c r="T54" s="2"/>
    </row>
    <row r="55" spans="1:20">
      <c r="A55" s="4" t="s">
        <v>40</v>
      </c>
      <c r="B55" s="6">
        <v>0</v>
      </c>
      <c r="C55" s="6">
        <v>9</v>
      </c>
      <c r="D55" s="6">
        <v>54</v>
      </c>
      <c r="E55" s="6">
        <v>60</v>
      </c>
      <c r="F55" s="6">
        <v>85</v>
      </c>
      <c r="G55" s="6">
        <v>81</v>
      </c>
      <c r="H55" s="6">
        <v>69</v>
      </c>
      <c r="I55" s="6">
        <v>70</v>
      </c>
      <c r="J55" s="6">
        <v>64</v>
      </c>
      <c r="K55" s="6">
        <v>47</v>
      </c>
      <c r="L55" s="6">
        <v>42</v>
      </c>
      <c r="M55" s="6">
        <v>30</v>
      </c>
      <c r="N55" s="6">
        <v>35</v>
      </c>
      <c r="O55" s="6">
        <v>34</v>
      </c>
      <c r="P55" s="6">
        <v>30</v>
      </c>
      <c r="Q55" s="6">
        <v>15</v>
      </c>
      <c r="R55" s="6">
        <v>26</v>
      </c>
      <c r="S55" s="6">
        <f t="shared" si="5"/>
        <v>751</v>
      </c>
      <c r="T55" s="2"/>
    </row>
    <row r="56" spans="1:20">
      <c r="A56" s="4" t="s">
        <v>41</v>
      </c>
      <c r="B56" s="6">
        <v>0</v>
      </c>
      <c r="C56" s="6">
        <v>13</v>
      </c>
      <c r="D56" s="6">
        <v>50</v>
      </c>
      <c r="E56" s="6">
        <v>54</v>
      </c>
      <c r="F56" s="6">
        <v>97</v>
      </c>
      <c r="G56" s="6">
        <v>68</v>
      </c>
      <c r="H56" s="6">
        <v>52</v>
      </c>
      <c r="I56" s="6">
        <v>49</v>
      </c>
      <c r="J56" s="6">
        <v>40</v>
      </c>
      <c r="K56" s="6">
        <v>42</v>
      </c>
      <c r="L56" s="6">
        <v>46</v>
      </c>
      <c r="M56" s="6">
        <v>23</v>
      </c>
      <c r="N56" s="6">
        <v>28</v>
      </c>
      <c r="O56" s="6">
        <v>24</v>
      </c>
      <c r="P56" s="6">
        <v>14</v>
      </c>
      <c r="Q56" s="6">
        <v>12</v>
      </c>
      <c r="R56" s="6">
        <v>12</v>
      </c>
      <c r="S56" s="6">
        <f t="shared" si="5"/>
        <v>624</v>
      </c>
      <c r="T56" s="2"/>
    </row>
    <row r="57" spans="1:20">
      <c r="A57" s="4" t="s">
        <v>42</v>
      </c>
      <c r="B57" s="6">
        <v>2</v>
      </c>
      <c r="C57" s="6">
        <v>5</v>
      </c>
      <c r="D57" s="6">
        <v>11</v>
      </c>
      <c r="E57" s="6">
        <v>27</v>
      </c>
      <c r="F57" s="6">
        <v>28</v>
      </c>
      <c r="G57" s="6">
        <v>22</v>
      </c>
      <c r="H57" s="6">
        <v>20</v>
      </c>
      <c r="I57" s="6">
        <v>23</v>
      </c>
      <c r="J57" s="6">
        <v>28</v>
      </c>
      <c r="K57" s="6">
        <v>9</v>
      </c>
      <c r="L57" s="6">
        <v>6</v>
      </c>
      <c r="M57" s="6">
        <v>6</v>
      </c>
      <c r="N57" s="6">
        <v>12</v>
      </c>
      <c r="O57" s="6">
        <v>11</v>
      </c>
      <c r="P57" s="6">
        <v>13</v>
      </c>
      <c r="Q57" s="6">
        <v>8</v>
      </c>
      <c r="R57" s="6">
        <v>12</v>
      </c>
      <c r="S57" s="6">
        <f t="shared" si="5"/>
        <v>243</v>
      </c>
      <c r="T57" s="2"/>
    </row>
    <row r="58" spans="1:20">
      <c r="A58" s="4" t="s">
        <v>43</v>
      </c>
      <c r="B58" s="5">
        <v>4</v>
      </c>
      <c r="C58" s="5">
        <v>56</v>
      </c>
      <c r="D58" s="5">
        <v>270</v>
      </c>
      <c r="E58" s="5">
        <v>396</v>
      </c>
      <c r="F58" s="5">
        <v>449</v>
      </c>
      <c r="G58" s="5">
        <v>399</v>
      </c>
      <c r="H58" s="5">
        <v>387</v>
      </c>
      <c r="I58" s="5">
        <v>338</v>
      </c>
      <c r="J58" s="5">
        <v>314</v>
      </c>
      <c r="K58" s="5">
        <v>267</v>
      </c>
      <c r="L58" s="5">
        <v>233</v>
      </c>
      <c r="M58" s="5">
        <v>184</v>
      </c>
      <c r="N58" s="5">
        <v>150</v>
      </c>
      <c r="O58" s="5">
        <v>139</v>
      </c>
      <c r="P58" s="5">
        <v>104</v>
      </c>
      <c r="Q58" s="5">
        <v>63</v>
      </c>
      <c r="R58" s="5">
        <v>65</v>
      </c>
      <c r="S58" s="5">
        <f>SUM(B58:R58)</f>
        <v>3818</v>
      </c>
      <c r="T58" s="2"/>
    </row>
    <row r="59" spans="1:20">
      <c r="A59" s="4" t="s">
        <v>44</v>
      </c>
      <c r="B59" s="6">
        <v>0</v>
      </c>
      <c r="C59" s="6">
        <v>2</v>
      </c>
      <c r="D59" s="6">
        <v>34</v>
      </c>
      <c r="E59" s="6">
        <v>48</v>
      </c>
      <c r="F59" s="6">
        <v>71</v>
      </c>
      <c r="G59" s="6">
        <v>68</v>
      </c>
      <c r="H59" s="6">
        <v>57</v>
      </c>
      <c r="I59" s="6">
        <v>56</v>
      </c>
      <c r="J59" s="6">
        <v>59</v>
      </c>
      <c r="K59" s="6">
        <v>44</v>
      </c>
      <c r="L59" s="6">
        <v>41</v>
      </c>
      <c r="M59" s="6">
        <v>30</v>
      </c>
      <c r="N59" s="6">
        <v>29</v>
      </c>
      <c r="O59" s="6">
        <v>18</v>
      </c>
      <c r="P59" s="6">
        <v>13</v>
      </c>
      <c r="Q59" s="6">
        <v>14</v>
      </c>
      <c r="R59" s="6">
        <v>20</v>
      </c>
      <c r="S59" s="6">
        <f t="shared" si="5"/>
        <v>604</v>
      </c>
      <c r="T59" s="2"/>
    </row>
    <row r="60" spans="1:20">
      <c r="A60" s="4" t="s">
        <v>45</v>
      </c>
      <c r="B60" s="6">
        <v>1</v>
      </c>
      <c r="C60" s="6">
        <v>20</v>
      </c>
      <c r="D60" s="6">
        <v>96</v>
      </c>
      <c r="E60" s="6">
        <v>188</v>
      </c>
      <c r="F60" s="6">
        <v>194</v>
      </c>
      <c r="G60" s="6">
        <v>190</v>
      </c>
      <c r="H60" s="6">
        <v>149</v>
      </c>
      <c r="I60" s="6">
        <v>100</v>
      </c>
      <c r="J60" s="6">
        <v>151</v>
      </c>
      <c r="K60" s="6">
        <v>123</v>
      </c>
      <c r="L60" s="6">
        <v>90</v>
      </c>
      <c r="M60" s="6">
        <v>73</v>
      </c>
      <c r="N60" s="6">
        <v>58</v>
      </c>
      <c r="O60" s="6">
        <v>48</v>
      </c>
      <c r="P60" s="6">
        <v>45</v>
      </c>
      <c r="Q60" s="6">
        <v>38</v>
      </c>
      <c r="R60" s="6">
        <v>36</v>
      </c>
      <c r="S60" s="6">
        <f t="shared" si="5"/>
        <v>1600</v>
      </c>
      <c r="T60" s="2"/>
    </row>
    <row r="61" spans="1:20">
      <c r="A61" s="17" t="s">
        <v>23</v>
      </c>
      <c r="B61" s="18">
        <f t="shared" ref="B61:R61" si="6">SUM(B39:B60)</f>
        <v>55</v>
      </c>
      <c r="C61" s="18">
        <f t="shared" si="6"/>
        <v>426</v>
      </c>
      <c r="D61" s="18">
        <f t="shared" si="6"/>
        <v>2111</v>
      </c>
      <c r="E61" s="18">
        <f t="shared" si="6"/>
        <v>3007</v>
      </c>
      <c r="F61" s="18">
        <f t="shared" si="6"/>
        <v>3501</v>
      </c>
      <c r="G61" s="18">
        <f t="shared" si="6"/>
        <v>3188</v>
      </c>
      <c r="H61" s="18">
        <f t="shared" si="6"/>
        <v>2887</v>
      </c>
      <c r="I61" s="18">
        <f t="shared" si="6"/>
        <v>2568</v>
      </c>
      <c r="J61" s="18">
        <f t="shared" si="6"/>
        <v>2461</v>
      </c>
      <c r="K61" s="18">
        <f t="shared" si="6"/>
        <v>2044</v>
      </c>
      <c r="L61" s="18">
        <f t="shared" si="6"/>
        <v>1741</v>
      </c>
      <c r="M61" s="18">
        <f t="shared" si="6"/>
        <v>1379</v>
      </c>
      <c r="N61" s="18">
        <f t="shared" si="6"/>
        <v>1255</v>
      </c>
      <c r="O61" s="18">
        <f t="shared" si="6"/>
        <v>1136</v>
      </c>
      <c r="P61" s="18">
        <f t="shared" si="6"/>
        <v>861</v>
      </c>
      <c r="Q61" s="18">
        <f t="shared" si="6"/>
        <v>686</v>
      </c>
      <c r="R61" s="18">
        <f t="shared" si="6"/>
        <v>816</v>
      </c>
      <c r="S61" s="18">
        <f>SUM(B61:R61)</f>
        <v>30122</v>
      </c>
      <c r="T61" s="2"/>
    </row>
    <row r="62" spans="1:20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20">
      <c r="A63" s="20" t="s">
        <v>46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 ht="11.25" customHeight="1">
      <c r="A64" s="9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30">
      <c r="A65" s="19" t="s">
        <v>6</v>
      </c>
      <c r="B65" s="15" t="s">
        <v>7</v>
      </c>
      <c r="C65" s="23" t="s">
        <v>59</v>
      </c>
      <c r="D65" s="16" t="s">
        <v>8</v>
      </c>
      <c r="E65" s="16" t="s">
        <v>9</v>
      </c>
      <c r="F65" s="16" t="s">
        <v>10</v>
      </c>
      <c r="G65" s="16" t="s">
        <v>11</v>
      </c>
      <c r="H65" s="16" t="s">
        <v>12</v>
      </c>
      <c r="I65" s="16" t="s">
        <v>13</v>
      </c>
      <c r="J65" s="16" t="s">
        <v>14</v>
      </c>
      <c r="K65" s="16" t="s">
        <v>15</v>
      </c>
      <c r="L65" s="16" t="s">
        <v>16</v>
      </c>
      <c r="M65" s="16" t="s">
        <v>17</v>
      </c>
      <c r="N65" s="16" t="s">
        <v>18</v>
      </c>
      <c r="O65" s="16" t="s">
        <v>19</v>
      </c>
      <c r="P65" s="16" t="s">
        <v>20</v>
      </c>
      <c r="Q65" s="16" t="s">
        <v>21</v>
      </c>
      <c r="R65" s="16" t="s">
        <v>22</v>
      </c>
      <c r="S65" s="16" t="s">
        <v>23</v>
      </c>
    </row>
    <row r="66" spans="1:19">
      <c r="A66" s="4" t="s">
        <v>24</v>
      </c>
      <c r="B66" s="6">
        <v>4</v>
      </c>
      <c r="C66" s="6">
        <v>23</v>
      </c>
      <c r="D66" s="6">
        <v>98</v>
      </c>
      <c r="E66" s="6">
        <v>175</v>
      </c>
      <c r="F66" s="6">
        <v>175</v>
      </c>
      <c r="G66" s="6">
        <v>189</v>
      </c>
      <c r="H66" s="6">
        <v>172</v>
      </c>
      <c r="I66" s="6">
        <v>144</v>
      </c>
      <c r="J66" s="6">
        <v>147</v>
      </c>
      <c r="K66" s="6">
        <v>100</v>
      </c>
      <c r="L66" s="6">
        <v>90</v>
      </c>
      <c r="M66" s="6">
        <v>61</v>
      </c>
      <c r="N66" s="6">
        <v>91</v>
      </c>
      <c r="O66" s="6">
        <v>54</v>
      </c>
      <c r="P66" s="6">
        <v>54</v>
      </c>
      <c r="Q66" s="6">
        <v>45</v>
      </c>
      <c r="R66" s="6">
        <v>55</v>
      </c>
      <c r="S66" s="6">
        <f t="shared" ref="S66:S72" si="7">SUM(B66:R66)</f>
        <v>1677</v>
      </c>
    </row>
    <row r="67" spans="1:19">
      <c r="A67" s="4" t="s">
        <v>25</v>
      </c>
      <c r="B67" s="6">
        <v>1</v>
      </c>
      <c r="C67" s="6">
        <v>17</v>
      </c>
      <c r="D67" s="6">
        <v>81</v>
      </c>
      <c r="E67" s="6">
        <v>133</v>
      </c>
      <c r="F67" s="6">
        <v>158</v>
      </c>
      <c r="G67" s="6">
        <v>114</v>
      </c>
      <c r="H67" s="6">
        <v>122</v>
      </c>
      <c r="I67" s="6">
        <v>102</v>
      </c>
      <c r="J67" s="6">
        <v>103</v>
      </c>
      <c r="K67" s="6">
        <v>75</v>
      </c>
      <c r="L67" s="6">
        <v>48</v>
      </c>
      <c r="M67" s="6">
        <v>67</v>
      </c>
      <c r="N67" s="6">
        <v>50</v>
      </c>
      <c r="O67" s="6">
        <v>40</v>
      </c>
      <c r="P67" s="6">
        <v>23</v>
      </c>
      <c r="Q67" s="6">
        <v>19</v>
      </c>
      <c r="R67" s="6">
        <v>35</v>
      </c>
      <c r="S67" s="6">
        <f t="shared" si="7"/>
        <v>1188</v>
      </c>
    </row>
    <row r="68" spans="1:19">
      <c r="A68" s="4" t="s">
        <v>26</v>
      </c>
      <c r="B68" s="6">
        <v>1</v>
      </c>
      <c r="C68" s="6">
        <v>17</v>
      </c>
      <c r="D68" s="6">
        <v>70</v>
      </c>
      <c r="E68" s="6">
        <v>102</v>
      </c>
      <c r="F68" s="6">
        <v>96</v>
      </c>
      <c r="G68" s="6">
        <v>122</v>
      </c>
      <c r="H68" s="6">
        <v>77</v>
      </c>
      <c r="I68" s="6">
        <v>76</v>
      </c>
      <c r="J68" s="6">
        <v>48</v>
      </c>
      <c r="K68" s="6">
        <v>50</v>
      </c>
      <c r="L68" s="6">
        <v>46</v>
      </c>
      <c r="M68" s="6">
        <v>43</v>
      </c>
      <c r="N68" s="6">
        <v>28</v>
      </c>
      <c r="O68" s="6">
        <v>31</v>
      </c>
      <c r="P68" s="6">
        <v>19</v>
      </c>
      <c r="Q68" s="6">
        <v>36</v>
      </c>
      <c r="R68" s="6">
        <v>31</v>
      </c>
      <c r="S68" s="6">
        <f t="shared" si="7"/>
        <v>893</v>
      </c>
    </row>
    <row r="69" spans="1:19">
      <c r="A69" s="4" t="s">
        <v>27</v>
      </c>
      <c r="B69" s="6">
        <v>5</v>
      </c>
      <c r="C69" s="6">
        <v>20</v>
      </c>
      <c r="D69" s="6">
        <v>97</v>
      </c>
      <c r="E69" s="6">
        <v>138</v>
      </c>
      <c r="F69" s="6">
        <v>171</v>
      </c>
      <c r="G69" s="6">
        <v>143</v>
      </c>
      <c r="H69" s="6">
        <v>126</v>
      </c>
      <c r="I69" s="6">
        <v>118</v>
      </c>
      <c r="J69" s="6">
        <v>119</v>
      </c>
      <c r="K69" s="6">
        <v>74</v>
      </c>
      <c r="L69" s="6">
        <v>73</v>
      </c>
      <c r="M69" s="6">
        <v>73</v>
      </c>
      <c r="N69" s="6">
        <v>61</v>
      </c>
      <c r="O69" s="6">
        <v>41</v>
      </c>
      <c r="P69" s="6">
        <v>30</v>
      </c>
      <c r="Q69" s="6">
        <v>18</v>
      </c>
      <c r="R69" s="6">
        <v>51</v>
      </c>
      <c r="S69" s="6">
        <f t="shared" si="7"/>
        <v>1358</v>
      </c>
    </row>
    <row r="70" spans="1:19">
      <c r="A70" s="4" t="s">
        <v>28</v>
      </c>
      <c r="B70" s="6">
        <v>0</v>
      </c>
      <c r="C70" s="6">
        <v>8</v>
      </c>
      <c r="D70" s="6">
        <v>24</v>
      </c>
      <c r="E70" s="6">
        <v>31</v>
      </c>
      <c r="F70" s="6">
        <v>28</v>
      </c>
      <c r="G70" s="6">
        <v>31</v>
      </c>
      <c r="H70" s="6">
        <v>29</v>
      </c>
      <c r="I70" s="6">
        <v>30</v>
      </c>
      <c r="J70" s="6">
        <v>23</v>
      </c>
      <c r="K70" s="6">
        <v>18</v>
      </c>
      <c r="L70" s="6">
        <v>26</v>
      </c>
      <c r="M70" s="6">
        <v>17</v>
      </c>
      <c r="N70" s="6">
        <v>10</v>
      </c>
      <c r="O70" s="6">
        <v>11</v>
      </c>
      <c r="P70" s="6">
        <v>11</v>
      </c>
      <c r="Q70" s="6">
        <v>12</v>
      </c>
      <c r="R70" s="6">
        <v>12</v>
      </c>
      <c r="S70" s="6">
        <f t="shared" si="7"/>
        <v>321</v>
      </c>
    </row>
    <row r="71" spans="1:19">
      <c r="A71" s="4" t="s">
        <v>29</v>
      </c>
      <c r="B71" s="6">
        <v>1</v>
      </c>
      <c r="C71" s="6">
        <v>6</v>
      </c>
      <c r="D71" s="6">
        <v>38</v>
      </c>
      <c r="E71" s="6">
        <v>102</v>
      </c>
      <c r="F71" s="6">
        <v>89</v>
      </c>
      <c r="G71" s="6">
        <v>85</v>
      </c>
      <c r="H71" s="6">
        <v>82</v>
      </c>
      <c r="I71" s="6">
        <v>85</v>
      </c>
      <c r="J71" s="6">
        <v>78</v>
      </c>
      <c r="K71" s="6">
        <v>40</v>
      </c>
      <c r="L71" s="6">
        <v>51</v>
      </c>
      <c r="M71" s="6">
        <v>41</v>
      </c>
      <c r="N71" s="6">
        <v>39</v>
      </c>
      <c r="O71" s="6">
        <v>36</v>
      </c>
      <c r="P71" s="6">
        <v>36</v>
      </c>
      <c r="Q71" s="6">
        <v>19</v>
      </c>
      <c r="R71" s="6">
        <v>31</v>
      </c>
      <c r="S71" s="6">
        <f t="shared" si="7"/>
        <v>859</v>
      </c>
    </row>
    <row r="72" spans="1:19">
      <c r="A72" s="4" t="s">
        <v>30</v>
      </c>
      <c r="B72" s="6">
        <v>1</v>
      </c>
      <c r="C72" s="6">
        <v>7</v>
      </c>
      <c r="D72" s="6">
        <v>64</v>
      </c>
      <c r="E72" s="6">
        <v>88</v>
      </c>
      <c r="F72" s="6">
        <v>94</v>
      </c>
      <c r="G72" s="6">
        <v>165</v>
      </c>
      <c r="H72" s="6">
        <v>56</v>
      </c>
      <c r="I72" s="6">
        <v>72</v>
      </c>
      <c r="J72" s="6">
        <v>64</v>
      </c>
      <c r="K72" s="6">
        <v>53</v>
      </c>
      <c r="L72" s="6">
        <v>28</v>
      </c>
      <c r="M72" s="6">
        <v>39</v>
      </c>
      <c r="N72" s="6">
        <v>31</v>
      </c>
      <c r="O72" s="6">
        <v>27</v>
      </c>
      <c r="P72" s="6">
        <v>26</v>
      </c>
      <c r="Q72" s="6">
        <v>14</v>
      </c>
      <c r="R72" s="6">
        <v>21</v>
      </c>
      <c r="S72" s="6">
        <f t="shared" si="7"/>
        <v>850</v>
      </c>
    </row>
    <row r="73" spans="1:19">
      <c r="A73" s="4" t="s">
        <v>31</v>
      </c>
      <c r="B73" s="1">
        <v>5</v>
      </c>
      <c r="C73" s="1">
        <v>27</v>
      </c>
      <c r="D73" s="1">
        <v>115</v>
      </c>
      <c r="E73" s="1">
        <v>192</v>
      </c>
      <c r="F73" s="1">
        <v>216</v>
      </c>
      <c r="G73" s="1">
        <v>193</v>
      </c>
      <c r="H73" s="1">
        <v>167</v>
      </c>
      <c r="I73" s="1">
        <v>151</v>
      </c>
      <c r="J73" s="1">
        <v>141</v>
      </c>
      <c r="K73" s="1">
        <v>103</v>
      </c>
      <c r="L73" s="1">
        <v>96</v>
      </c>
      <c r="M73" s="1">
        <v>76</v>
      </c>
      <c r="N73" s="1">
        <v>83</v>
      </c>
      <c r="O73" s="1">
        <v>61</v>
      </c>
      <c r="P73" s="1">
        <v>72</v>
      </c>
      <c r="Q73" s="1">
        <v>59</v>
      </c>
      <c r="R73" s="1">
        <v>110</v>
      </c>
      <c r="S73" s="1">
        <f t="shared" ref="S73:S78" si="8">SUM(B73:R73)</f>
        <v>1867</v>
      </c>
    </row>
    <row r="74" spans="1:19">
      <c r="A74" s="4" t="s">
        <v>32</v>
      </c>
      <c r="B74" s="6">
        <v>0</v>
      </c>
      <c r="C74" s="6">
        <v>16</v>
      </c>
      <c r="D74" s="6">
        <v>60</v>
      </c>
      <c r="E74" s="6">
        <v>96</v>
      </c>
      <c r="F74" s="6">
        <v>107</v>
      </c>
      <c r="G74" s="6">
        <v>100</v>
      </c>
      <c r="H74" s="6">
        <v>73</v>
      </c>
      <c r="I74" s="6">
        <v>75</v>
      </c>
      <c r="J74" s="6">
        <v>64</v>
      </c>
      <c r="K74" s="6">
        <v>57</v>
      </c>
      <c r="L74" s="6">
        <v>32</v>
      </c>
      <c r="M74" s="6">
        <v>43</v>
      </c>
      <c r="N74" s="6">
        <v>26</v>
      </c>
      <c r="O74" s="6">
        <v>25</v>
      </c>
      <c r="P74" s="6">
        <v>22</v>
      </c>
      <c r="Q74" s="6">
        <v>15</v>
      </c>
      <c r="R74" s="6">
        <v>30</v>
      </c>
      <c r="S74" s="6">
        <f t="shared" si="8"/>
        <v>841</v>
      </c>
    </row>
    <row r="75" spans="1:19">
      <c r="A75" s="4" t="s">
        <v>33</v>
      </c>
      <c r="B75" s="6">
        <v>1</v>
      </c>
      <c r="C75" s="6">
        <v>14</v>
      </c>
      <c r="D75" s="6">
        <v>64</v>
      </c>
      <c r="E75" s="6">
        <v>109</v>
      </c>
      <c r="F75" s="6">
        <v>137</v>
      </c>
      <c r="G75" s="6">
        <v>126</v>
      </c>
      <c r="H75" s="6">
        <v>132</v>
      </c>
      <c r="I75" s="6">
        <v>99</v>
      </c>
      <c r="J75" s="6">
        <v>99</v>
      </c>
      <c r="K75" s="6">
        <v>79</v>
      </c>
      <c r="L75" s="6">
        <v>54</v>
      </c>
      <c r="M75" s="6">
        <v>65</v>
      </c>
      <c r="N75" s="6">
        <v>46</v>
      </c>
      <c r="O75" s="6">
        <v>52</v>
      </c>
      <c r="P75" s="6">
        <v>34</v>
      </c>
      <c r="Q75" s="6">
        <v>25</v>
      </c>
      <c r="R75" s="6">
        <v>54</v>
      </c>
      <c r="S75" s="6">
        <f t="shared" si="8"/>
        <v>1190</v>
      </c>
    </row>
    <row r="76" spans="1:19">
      <c r="A76" s="4" t="s">
        <v>34</v>
      </c>
      <c r="B76" s="6">
        <v>0</v>
      </c>
      <c r="C76" s="6">
        <v>10</v>
      </c>
      <c r="D76" s="6">
        <v>48</v>
      </c>
      <c r="E76" s="6">
        <v>72</v>
      </c>
      <c r="F76" s="6">
        <v>85</v>
      </c>
      <c r="G76" s="6">
        <v>72</v>
      </c>
      <c r="H76" s="6">
        <v>64</v>
      </c>
      <c r="I76" s="6">
        <v>47</v>
      </c>
      <c r="J76" s="6">
        <v>55</v>
      </c>
      <c r="K76" s="6">
        <v>48</v>
      </c>
      <c r="L76" s="6">
        <v>32</v>
      </c>
      <c r="M76" s="6">
        <v>27</v>
      </c>
      <c r="N76" s="6">
        <v>32</v>
      </c>
      <c r="O76" s="6">
        <v>26</v>
      </c>
      <c r="P76" s="6">
        <v>26</v>
      </c>
      <c r="Q76" s="6">
        <v>16</v>
      </c>
      <c r="R76" s="6">
        <v>30</v>
      </c>
      <c r="S76" s="6">
        <f t="shared" si="8"/>
        <v>690</v>
      </c>
    </row>
    <row r="77" spans="1:19">
      <c r="A77" s="4" t="s">
        <v>35</v>
      </c>
      <c r="B77" s="6">
        <v>0</v>
      </c>
      <c r="C77" s="6">
        <v>9</v>
      </c>
      <c r="D77" s="6">
        <v>18</v>
      </c>
      <c r="E77" s="6">
        <v>42</v>
      </c>
      <c r="F77" s="6">
        <v>40</v>
      </c>
      <c r="G77" s="6">
        <v>31</v>
      </c>
      <c r="H77" s="6">
        <v>35</v>
      </c>
      <c r="I77" s="6">
        <v>27</v>
      </c>
      <c r="J77" s="6">
        <v>35</v>
      </c>
      <c r="K77" s="6">
        <v>19</v>
      </c>
      <c r="L77" s="6">
        <v>10</v>
      </c>
      <c r="M77" s="6">
        <v>22</v>
      </c>
      <c r="N77" s="6">
        <v>22</v>
      </c>
      <c r="O77" s="6">
        <v>17</v>
      </c>
      <c r="P77" s="6">
        <v>9</v>
      </c>
      <c r="Q77" s="6">
        <v>4</v>
      </c>
      <c r="R77" s="6">
        <v>12</v>
      </c>
      <c r="S77" s="6">
        <f t="shared" si="8"/>
        <v>352</v>
      </c>
    </row>
    <row r="78" spans="1:19">
      <c r="A78" s="4" t="s">
        <v>36</v>
      </c>
      <c r="B78" s="1">
        <v>3</v>
      </c>
      <c r="C78" s="1">
        <v>102</v>
      </c>
      <c r="D78" s="1">
        <v>418</v>
      </c>
      <c r="E78" s="1">
        <v>628</v>
      </c>
      <c r="F78" s="1">
        <v>684</v>
      </c>
      <c r="G78" s="1">
        <v>736</v>
      </c>
      <c r="H78" s="1">
        <v>621</v>
      </c>
      <c r="I78" s="1">
        <v>532</v>
      </c>
      <c r="J78" s="1">
        <v>534</v>
      </c>
      <c r="K78" s="1">
        <v>445</v>
      </c>
      <c r="L78" s="1">
        <v>385</v>
      </c>
      <c r="M78" s="1">
        <v>329</v>
      </c>
      <c r="N78" s="1">
        <v>320</v>
      </c>
      <c r="O78" s="1">
        <v>282</v>
      </c>
      <c r="P78" s="1">
        <v>242</v>
      </c>
      <c r="Q78" s="1">
        <v>191</v>
      </c>
      <c r="R78" s="1">
        <v>233</v>
      </c>
      <c r="S78" s="1">
        <f t="shared" si="8"/>
        <v>6685</v>
      </c>
    </row>
    <row r="79" spans="1:19">
      <c r="A79" s="4" t="s">
        <v>37</v>
      </c>
      <c r="B79" s="6">
        <v>0</v>
      </c>
      <c r="C79" s="6">
        <v>16</v>
      </c>
      <c r="D79" s="6">
        <v>47</v>
      </c>
      <c r="E79" s="6">
        <v>110</v>
      </c>
      <c r="F79" s="6">
        <v>115</v>
      </c>
      <c r="G79" s="6">
        <v>108</v>
      </c>
      <c r="H79" s="6">
        <v>92</v>
      </c>
      <c r="I79" s="6">
        <v>79</v>
      </c>
      <c r="J79" s="6">
        <v>79</v>
      </c>
      <c r="K79" s="6">
        <v>67</v>
      </c>
      <c r="L79" s="6">
        <v>52</v>
      </c>
      <c r="M79" s="6">
        <v>37</v>
      </c>
      <c r="N79" s="6">
        <v>34</v>
      </c>
      <c r="O79" s="6">
        <v>38</v>
      </c>
      <c r="P79" s="6">
        <v>30</v>
      </c>
      <c r="Q79" s="6">
        <v>18</v>
      </c>
      <c r="R79" s="6">
        <v>26</v>
      </c>
      <c r="S79" s="6">
        <f t="shared" ref="S79:S87" si="9">SUM(B79:R79)</f>
        <v>948</v>
      </c>
    </row>
    <row r="80" spans="1:19">
      <c r="A80" s="4" t="s">
        <v>38</v>
      </c>
      <c r="B80" s="6">
        <v>1</v>
      </c>
      <c r="C80" s="6">
        <v>0</v>
      </c>
      <c r="D80" s="6">
        <v>48</v>
      </c>
      <c r="E80" s="6">
        <v>63</v>
      </c>
      <c r="F80" s="6">
        <v>80</v>
      </c>
      <c r="G80" s="6">
        <v>69</v>
      </c>
      <c r="H80" s="6">
        <v>69</v>
      </c>
      <c r="I80" s="6">
        <v>56</v>
      </c>
      <c r="J80" s="6">
        <v>37</v>
      </c>
      <c r="K80" s="6">
        <v>39</v>
      </c>
      <c r="L80" s="6">
        <v>31</v>
      </c>
      <c r="M80" s="6">
        <v>31</v>
      </c>
      <c r="N80" s="6">
        <v>28</v>
      </c>
      <c r="O80" s="6">
        <v>27</v>
      </c>
      <c r="P80" s="6">
        <v>17</v>
      </c>
      <c r="Q80" s="6">
        <v>11</v>
      </c>
      <c r="R80" s="6">
        <v>20</v>
      </c>
      <c r="S80" s="6">
        <f t="shared" si="9"/>
        <v>627</v>
      </c>
    </row>
    <row r="81" spans="1:19">
      <c r="A81" s="4" t="s">
        <v>39</v>
      </c>
      <c r="B81" s="6">
        <v>0</v>
      </c>
      <c r="C81" s="6">
        <v>4</v>
      </c>
      <c r="D81" s="6">
        <v>24</v>
      </c>
      <c r="E81" s="6">
        <v>53</v>
      </c>
      <c r="F81" s="6">
        <v>63</v>
      </c>
      <c r="G81" s="6">
        <v>54</v>
      </c>
      <c r="H81" s="6">
        <v>41</v>
      </c>
      <c r="I81" s="6">
        <v>35</v>
      </c>
      <c r="J81" s="6">
        <v>29</v>
      </c>
      <c r="K81" s="6">
        <v>49</v>
      </c>
      <c r="L81" s="6">
        <v>25</v>
      </c>
      <c r="M81" s="6">
        <v>22</v>
      </c>
      <c r="N81" s="6">
        <v>13</v>
      </c>
      <c r="O81" s="6">
        <v>16</v>
      </c>
      <c r="P81" s="6">
        <v>17</v>
      </c>
      <c r="Q81" s="6">
        <v>18</v>
      </c>
      <c r="R81" s="6">
        <v>27</v>
      </c>
      <c r="S81" s="6">
        <f t="shared" si="9"/>
        <v>490</v>
      </c>
    </row>
    <row r="82" spans="1:19">
      <c r="A82" s="4" t="s">
        <v>40</v>
      </c>
      <c r="B82" s="6">
        <v>0</v>
      </c>
      <c r="C82" s="6">
        <v>14</v>
      </c>
      <c r="D82" s="6">
        <v>55</v>
      </c>
      <c r="E82" s="6">
        <v>70</v>
      </c>
      <c r="F82" s="6">
        <v>76</v>
      </c>
      <c r="G82" s="6">
        <v>70</v>
      </c>
      <c r="H82" s="6">
        <v>64</v>
      </c>
      <c r="I82" s="6">
        <v>69</v>
      </c>
      <c r="J82" s="6">
        <v>46</v>
      </c>
      <c r="K82" s="6">
        <v>37</v>
      </c>
      <c r="L82" s="6">
        <v>53</v>
      </c>
      <c r="M82" s="6">
        <v>42</v>
      </c>
      <c r="N82" s="6">
        <v>23</v>
      </c>
      <c r="O82" s="6">
        <v>22</v>
      </c>
      <c r="P82" s="6">
        <v>23</v>
      </c>
      <c r="Q82" s="6">
        <v>19</v>
      </c>
      <c r="R82" s="6">
        <v>27</v>
      </c>
      <c r="S82" s="6">
        <f t="shared" si="9"/>
        <v>710</v>
      </c>
    </row>
    <row r="83" spans="1:19">
      <c r="A83" s="4" t="s">
        <v>41</v>
      </c>
      <c r="B83" s="6">
        <v>0</v>
      </c>
      <c r="C83" s="6">
        <v>3</v>
      </c>
      <c r="D83" s="6">
        <v>27</v>
      </c>
      <c r="E83" s="6">
        <v>63</v>
      </c>
      <c r="F83" s="6">
        <v>62</v>
      </c>
      <c r="G83" s="6">
        <v>52</v>
      </c>
      <c r="H83" s="6">
        <v>52</v>
      </c>
      <c r="I83" s="6">
        <v>50</v>
      </c>
      <c r="J83" s="6">
        <v>51</v>
      </c>
      <c r="K83" s="6">
        <v>36</v>
      </c>
      <c r="L83" s="6">
        <v>32</v>
      </c>
      <c r="M83" s="6">
        <v>23</v>
      </c>
      <c r="N83" s="6">
        <v>24</v>
      </c>
      <c r="O83" s="6">
        <v>15</v>
      </c>
      <c r="P83" s="6">
        <v>10</v>
      </c>
      <c r="Q83" s="6">
        <v>11</v>
      </c>
      <c r="R83" s="6">
        <v>19</v>
      </c>
      <c r="S83" s="6">
        <f t="shared" si="9"/>
        <v>530</v>
      </c>
    </row>
    <row r="84" spans="1:19">
      <c r="A84" s="4" t="s">
        <v>42</v>
      </c>
      <c r="B84" s="6">
        <v>1</v>
      </c>
      <c r="C84" s="6">
        <v>6</v>
      </c>
      <c r="D84" s="6">
        <v>14</v>
      </c>
      <c r="E84" s="6">
        <v>29</v>
      </c>
      <c r="F84" s="6">
        <v>22</v>
      </c>
      <c r="G84" s="6">
        <v>22</v>
      </c>
      <c r="H84" s="6">
        <v>20</v>
      </c>
      <c r="I84" s="6">
        <v>19</v>
      </c>
      <c r="J84" s="6">
        <v>19</v>
      </c>
      <c r="K84" s="6">
        <v>20</v>
      </c>
      <c r="L84" s="6">
        <v>3</v>
      </c>
      <c r="M84" s="6">
        <v>9</v>
      </c>
      <c r="N84" s="6">
        <v>17</v>
      </c>
      <c r="O84" s="6">
        <v>14</v>
      </c>
      <c r="P84" s="6">
        <v>6</v>
      </c>
      <c r="Q84" s="6">
        <v>3</v>
      </c>
      <c r="R84" s="6">
        <v>10</v>
      </c>
      <c r="S84" s="6">
        <f t="shared" si="9"/>
        <v>234</v>
      </c>
    </row>
    <row r="85" spans="1:19">
      <c r="A85" s="4" t="s">
        <v>43</v>
      </c>
      <c r="B85" s="5">
        <v>6</v>
      </c>
      <c r="C85" s="5">
        <v>64</v>
      </c>
      <c r="D85" s="5">
        <v>258</v>
      </c>
      <c r="E85" s="5">
        <v>363</v>
      </c>
      <c r="F85" s="5">
        <v>349</v>
      </c>
      <c r="G85" s="5">
        <v>345</v>
      </c>
      <c r="H85" s="5">
        <v>315</v>
      </c>
      <c r="I85" s="5">
        <v>291</v>
      </c>
      <c r="J85" s="5">
        <v>232</v>
      </c>
      <c r="K85" s="5">
        <v>194</v>
      </c>
      <c r="L85" s="5">
        <v>176</v>
      </c>
      <c r="M85" s="5">
        <v>161</v>
      </c>
      <c r="N85" s="5">
        <v>123</v>
      </c>
      <c r="O85" s="5">
        <v>106</v>
      </c>
      <c r="P85" s="5">
        <v>74</v>
      </c>
      <c r="Q85" s="5">
        <v>54</v>
      </c>
      <c r="R85" s="5">
        <v>85</v>
      </c>
      <c r="S85" s="5">
        <f>SUM(B85:R85)</f>
        <v>3196</v>
      </c>
    </row>
    <row r="86" spans="1:19">
      <c r="A86" s="4" t="s">
        <v>44</v>
      </c>
      <c r="B86" s="6">
        <v>0</v>
      </c>
      <c r="C86" s="6">
        <v>5</v>
      </c>
      <c r="D86" s="6">
        <v>35</v>
      </c>
      <c r="E86" s="6">
        <v>53</v>
      </c>
      <c r="F86" s="6">
        <v>81</v>
      </c>
      <c r="G86" s="6">
        <v>48</v>
      </c>
      <c r="H86" s="6">
        <v>61</v>
      </c>
      <c r="I86" s="6">
        <v>46</v>
      </c>
      <c r="J86" s="6">
        <v>57</v>
      </c>
      <c r="K86" s="6">
        <v>40</v>
      </c>
      <c r="L86" s="6">
        <v>37</v>
      </c>
      <c r="M86" s="6">
        <v>24</v>
      </c>
      <c r="N86" s="6">
        <v>28</v>
      </c>
      <c r="O86" s="6">
        <v>20</v>
      </c>
      <c r="P86" s="6">
        <v>17</v>
      </c>
      <c r="Q86" s="6">
        <v>15</v>
      </c>
      <c r="R86" s="6">
        <v>18</v>
      </c>
      <c r="S86" s="6">
        <f t="shared" si="9"/>
        <v>585</v>
      </c>
    </row>
    <row r="87" spans="1:19">
      <c r="A87" s="4" t="s">
        <v>45</v>
      </c>
      <c r="B87" s="6">
        <v>1</v>
      </c>
      <c r="C87" s="6">
        <v>20</v>
      </c>
      <c r="D87" s="6">
        <v>90</v>
      </c>
      <c r="E87" s="6">
        <v>164</v>
      </c>
      <c r="F87" s="6">
        <v>204</v>
      </c>
      <c r="G87" s="6">
        <v>179</v>
      </c>
      <c r="H87" s="6">
        <v>150</v>
      </c>
      <c r="I87" s="6">
        <v>145</v>
      </c>
      <c r="J87" s="6">
        <v>127</v>
      </c>
      <c r="K87" s="6">
        <v>124</v>
      </c>
      <c r="L87" s="6">
        <v>71</v>
      </c>
      <c r="M87" s="6">
        <v>75</v>
      </c>
      <c r="N87" s="6">
        <v>60</v>
      </c>
      <c r="O87" s="6">
        <v>52</v>
      </c>
      <c r="P87" s="6">
        <v>48</v>
      </c>
      <c r="Q87" s="6">
        <v>35</v>
      </c>
      <c r="R87" s="6">
        <v>42</v>
      </c>
      <c r="S87" s="6">
        <f t="shared" si="9"/>
        <v>1587</v>
      </c>
    </row>
    <row r="88" spans="1:19">
      <c r="A88" s="18" t="s">
        <v>23</v>
      </c>
      <c r="B88" s="18">
        <f t="shared" ref="B88:R88" si="10">SUM(B66:B87)</f>
        <v>31</v>
      </c>
      <c r="C88" s="18">
        <f t="shared" si="10"/>
        <v>408</v>
      </c>
      <c r="D88" s="18">
        <f t="shared" si="10"/>
        <v>1793</v>
      </c>
      <c r="E88" s="18">
        <f t="shared" si="10"/>
        <v>2876</v>
      </c>
      <c r="F88" s="18">
        <f t="shared" si="10"/>
        <v>3132</v>
      </c>
      <c r="G88" s="18">
        <f t="shared" si="10"/>
        <v>3054</v>
      </c>
      <c r="H88" s="18">
        <f t="shared" si="10"/>
        <v>2620</v>
      </c>
      <c r="I88" s="18">
        <f t="shared" si="10"/>
        <v>2348</v>
      </c>
      <c r="J88" s="18">
        <f t="shared" si="10"/>
        <v>2187</v>
      </c>
      <c r="K88" s="18">
        <f t="shared" si="10"/>
        <v>1767</v>
      </c>
      <c r="L88" s="18">
        <f t="shared" si="10"/>
        <v>1451</v>
      </c>
      <c r="M88" s="18">
        <f t="shared" si="10"/>
        <v>1327</v>
      </c>
      <c r="N88" s="18">
        <f t="shared" si="10"/>
        <v>1189</v>
      </c>
      <c r="O88" s="18">
        <f t="shared" si="10"/>
        <v>1013</v>
      </c>
      <c r="P88" s="18">
        <f t="shared" si="10"/>
        <v>846</v>
      </c>
      <c r="Q88" s="18">
        <f t="shared" si="10"/>
        <v>657</v>
      </c>
      <c r="R88" s="18">
        <f t="shared" si="10"/>
        <v>979</v>
      </c>
      <c r="S88" s="18">
        <f>SUM(B88:R88)</f>
        <v>27678</v>
      </c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1" spans="1:19">
      <c r="N91" s="37" t="s">
        <v>48</v>
      </c>
      <c r="O91" s="37"/>
      <c r="P91" s="37"/>
      <c r="Q91" s="37"/>
      <c r="R91" s="37"/>
    </row>
    <row r="92" spans="1:19" ht="25.5">
      <c r="A92" s="24" t="s">
        <v>6</v>
      </c>
      <c r="B92" s="24" t="s">
        <v>49</v>
      </c>
      <c r="C92" s="38" t="s">
        <v>50</v>
      </c>
      <c r="D92" s="39"/>
      <c r="E92" s="24" t="s">
        <v>51</v>
      </c>
      <c r="F92" s="24" t="s">
        <v>52</v>
      </c>
      <c r="G92" s="25" t="s">
        <v>60</v>
      </c>
      <c r="H92" s="25" t="s">
        <v>53</v>
      </c>
      <c r="I92" s="24" t="s">
        <v>54</v>
      </c>
      <c r="J92" s="10"/>
      <c r="N92" s="40" t="s">
        <v>6</v>
      </c>
      <c r="O92" s="41"/>
      <c r="P92" s="26" t="s">
        <v>55</v>
      </c>
      <c r="Q92" s="26" t="s">
        <v>56</v>
      </c>
      <c r="R92" s="27" t="s">
        <v>57</v>
      </c>
    </row>
    <row r="93" spans="1:19">
      <c r="A93" s="11" t="s">
        <v>24</v>
      </c>
      <c r="B93" s="5">
        <v>744</v>
      </c>
      <c r="C93" s="31">
        <v>844</v>
      </c>
      <c r="D93" s="32"/>
      <c r="E93" s="5">
        <v>903</v>
      </c>
      <c r="F93" s="5">
        <v>744</v>
      </c>
      <c r="G93" s="5">
        <v>0</v>
      </c>
      <c r="H93" s="5">
        <v>260</v>
      </c>
      <c r="I93" s="5"/>
      <c r="N93" s="33" t="s">
        <v>24</v>
      </c>
      <c r="O93" s="33"/>
      <c r="P93" s="5">
        <v>0</v>
      </c>
      <c r="Q93" s="5">
        <v>0</v>
      </c>
      <c r="R93" s="5">
        <v>744</v>
      </c>
    </row>
    <row r="94" spans="1:19">
      <c r="A94" s="11" t="s">
        <v>25</v>
      </c>
      <c r="B94" s="5">
        <v>524</v>
      </c>
      <c r="C94" s="31">
        <v>633</v>
      </c>
      <c r="D94" s="32"/>
      <c r="E94" s="5">
        <v>631</v>
      </c>
      <c r="F94" s="5">
        <v>524</v>
      </c>
      <c r="G94" s="5">
        <v>0</v>
      </c>
      <c r="H94" s="5">
        <v>164</v>
      </c>
      <c r="I94" s="5"/>
      <c r="N94" s="33" t="s">
        <v>25</v>
      </c>
      <c r="O94" s="33"/>
      <c r="P94" s="5">
        <v>0</v>
      </c>
      <c r="Q94" s="5">
        <v>0</v>
      </c>
      <c r="R94" s="5">
        <v>524</v>
      </c>
    </row>
    <row r="95" spans="1:19">
      <c r="A95" s="11" t="s">
        <v>26</v>
      </c>
      <c r="B95" s="5">
        <v>388</v>
      </c>
      <c r="C95" s="31">
        <v>461</v>
      </c>
      <c r="D95" s="32"/>
      <c r="E95" s="5">
        <v>462</v>
      </c>
      <c r="F95" s="5">
        <v>388</v>
      </c>
      <c r="G95" s="5">
        <v>0</v>
      </c>
      <c r="H95" s="5">
        <v>320</v>
      </c>
      <c r="I95" s="5"/>
      <c r="N95" s="33" t="s">
        <v>26</v>
      </c>
      <c r="O95" s="33"/>
      <c r="P95" s="5">
        <v>20</v>
      </c>
      <c r="Q95" s="5">
        <v>0</v>
      </c>
      <c r="R95" s="5">
        <v>368</v>
      </c>
    </row>
    <row r="96" spans="1:19">
      <c r="A96" s="11" t="s">
        <v>27</v>
      </c>
      <c r="B96" s="5">
        <v>555</v>
      </c>
      <c r="C96" s="31">
        <v>665</v>
      </c>
      <c r="D96" s="32"/>
      <c r="E96" s="5">
        <v>726</v>
      </c>
      <c r="F96" s="5">
        <v>555</v>
      </c>
      <c r="G96" s="5">
        <v>0</v>
      </c>
      <c r="H96" s="5">
        <v>158</v>
      </c>
      <c r="I96" s="5"/>
      <c r="N96" s="33" t="s">
        <v>27</v>
      </c>
      <c r="O96" s="33"/>
      <c r="P96" s="5">
        <v>0</v>
      </c>
      <c r="Q96" s="5">
        <v>201</v>
      </c>
      <c r="R96" s="5">
        <v>354</v>
      </c>
    </row>
    <row r="97" spans="1:18">
      <c r="A97" s="11" t="s">
        <v>28</v>
      </c>
      <c r="B97" s="5">
        <v>175</v>
      </c>
      <c r="C97" s="31">
        <v>200</v>
      </c>
      <c r="D97" s="32"/>
      <c r="E97" s="5">
        <v>174</v>
      </c>
      <c r="F97" s="5">
        <v>164</v>
      </c>
      <c r="G97" s="5">
        <v>0</v>
      </c>
      <c r="H97" s="5">
        <v>51</v>
      </c>
      <c r="I97" s="5"/>
      <c r="N97" s="33" t="s">
        <v>28</v>
      </c>
      <c r="O97" s="33"/>
      <c r="P97" s="5">
        <v>4</v>
      </c>
      <c r="Q97" s="5">
        <v>10</v>
      </c>
      <c r="R97" s="5">
        <v>161</v>
      </c>
    </row>
    <row r="98" spans="1:18">
      <c r="A98" s="11" t="s">
        <v>29</v>
      </c>
      <c r="B98" s="5">
        <v>421</v>
      </c>
      <c r="C98" s="31">
        <v>469</v>
      </c>
      <c r="D98" s="32"/>
      <c r="E98" s="5">
        <v>462</v>
      </c>
      <c r="F98" s="5">
        <v>418</v>
      </c>
      <c r="G98" s="5">
        <v>0</v>
      </c>
      <c r="H98" s="5">
        <v>119</v>
      </c>
      <c r="I98" s="5"/>
      <c r="N98" s="33" t="s">
        <v>29</v>
      </c>
      <c r="O98" s="33"/>
      <c r="P98" s="5">
        <v>1</v>
      </c>
      <c r="Q98" s="5">
        <v>35</v>
      </c>
      <c r="R98" s="5">
        <v>385</v>
      </c>
    </row>
    <row r="99" spans="1:18">
      <c r="A99" s="11" t="s">
        <v>30</v>
      </c>
      <c r="B99" s="5">
        <v>347</v>
      </c>
      <c r="C99" s="31">
        <v>403</v>
      </c>
      <c r="D99" s="32"/>
      <c r="E99" s="5">
        <v>477</v>
      </c>
      <c r="F99" s="5">
        <v>347</v>
      </c>
      <c r="G99" s="5">
        <v>0</v>
      </c>
      <c r="H99" s="5">
        <v>88</v>
      </c>
      <c r="I99" s="5"/>
      <c r="N99" s="33" t="s">
        <v>30</v>
      </c>
      <c r="O99" s="33"/>
      <c r="P99" s="5">
        <v>4</v>
      </c>
      <c r="Q99" s="5">
        <v>46</v>
      </c>
      <c r="R99" s="5">
        <v>296</v>
      </c>
    </row>
    <row r="100" spans="1:18">
      <c r="A100" s="11" t="s">
        <v>31</v>
      </c>
      <c r="B100" s="5">
        <v>822</v>
      </c>
      <c r="C100" s="31">
        <v>886</v>
      </c>
      <c r="D100" s="32"/>
      <c r="E100" s="5">
        <v>927</v>
      </c>
      <c r="F100" s="13">
        <v>824</v>
      </c>
      <c r="G100" s="5">
        <v>0</v>
      </c>
      <c r="H100" s="5">
        <v>304</v>
      </c>
      <c r="I100" s="5"/>
      <c r="N100" s="33" t="s">
        <v>31</v>
      </c>
      <c r="O100" s="33"/>
      <c r="P100" s="5">
        <v>306</v>
      </c>
      <c r="Q100" s="5">
        <v>176</v>
      </c>
      <c r="R100" s="5">
        <v>340</v>
      </c>
    </row>
    <row r="101" spans="1:18">
      <c r="A101" s="11" t="s">
        <v>32</v>
      </c>
      <c r="B101" s="5">
        <v>356</v>
      </c>
      <c r="C101" s="31">
        <v>397</v>
      </c>
      <c r="D101" s="32"/>
      <c r="E101" s="5">
        <v>444</v>
      </c>
      <c r="F101" s="5">
        <v>318</v>
      </c>
      <c r="G101" s="5">
        <v>35</v>
      </c>
      <c r="H101" s="5">
        <v>115</v>
      </c>
      <c r="I101" s="5"/>
      <c r="N101" s="31" t="s">
        <v>58</v>
      </c>
      <c r="O101" s="32"/>
      <c r="P101" s="5">
        <v>74</v>
      </c>
      <c r="Q101" s="5">
        <v>20</v>
      </c>
      <c r="R101" s="5">
        <v>262</v>
      </c>
    </row>
    <row r="102" spans="1:18">
      <c r="A102" s="11" t="s">
        <v>33</v>
      </c>
      <c r="B102" s="5">
        <v>571</v>
      </c>
      <c r="C102" s="31">
        <v>662</v>
      </c>
      <c r="D102" s="32"/>
      <c r="E102" s="5">
        <v>654</v>
      </c>
      <c r="F102" s="5">
        <v>571</v>
      </c>
      <c r="G102" s="5">
        <v>0</v>
      </c>
      <c r="H102" s="5">
        <v>163</v>
      </c>
      <c r="I102" s="5"/>
      <c r="N102" s="33" t="s">
        <v>33</v>
      </c>
      <c r="O102" s="33"/>
      <c r="P102" s="5">
        <v>0</v>
      </c>
      <c r="Q102" s="5">
        <v>0</v>
      </c>
      <c r="R102" s="5">
        <v>571</v>
      </c>
    </row>
    <row r="103" spans="1:18">
      <c r="A103" s="11" t="s">
        <v>34</v>
      </c>
      <c r="B103" s="5">
        <v>328</v>
      </c>
      <c r="C103" s="31">
        <v>381</v>
      </c>
      <c r="D103" s="32"/>
      <c r="E103" s="5">
        <v>345</v>
      </c>
      <c r="F103" s="5">
        <v>328</v>
      </c>
      <c r="G103" s="5">
        <v>0</v>
      </c>
      <c r="H103" s="5">
        <v>108</v>
      </c>
      <c r="I103" s="5"/>
      <c r="N103" s="33" t="s">
        <v>34</v>
      </c>
      <c r="O103" s="33"/>
      <c r="P103" s="5">
        <v>0</v>
      </c>
      <c r="Q103" s="5">
        <v>63</v>
      </c>
      <c r="R103" s="5">
        <v>265</v>
      </c>
    </row>
    <row r="104" spans="1:18">
      <c r="A104" s="11" t="s">
        <v>35</v>
      </c>
      <c r="B104" s="5">
        <v>172</v>
      </c>
      <c r="C104" s="31">
        <v>186</v>
      </c>
      <c r="D104" s="32"/>
      <c r="E104" s="5">
        <v>179</v>
      </c>
      <c r="F104" s="5">
        <v>167</v>
      </c>
      <c r="G104" s="5">
        <v>0</v>
      </c>
      <c r="H104" s="5">
        <v>53</v>
      </c>
      <c r="I104" s="5"/>
      <c r="N104" s="34" t="s">
        <v>35</v>
      </c>
      <c r="O104" s="34"/>
      <c r="P104" s="5">
        <v>0</v>
      </c>
      <c r="Q104" s="5">
        <v>0</v>
      </c>
      <c r="R104" s="5">
        <v>172</v>
      </c>
    </row>
    <row r="105" spans="1:18">
      <c r="A105" s="11" t="s">
        <v>36</v>
      </c>
      <c r="B105" s="12">
        <v>2617</v>
      </c>
      <c r="C105" s="35">
        <v>2767</v>
      </c>
      <c r="D105" s="36"/>
      <c r="E105" s="12">
        <v>3175</v>
      </c>
      <c r="F105" s="12">
        <v>2560</v>
      </c>
      <c r="G105" s="12">
        <v>0</v>
      </c>
      <c r="H105" s="12">
        <v>413</v>
      </c>
      <c r="I105" s="5"/>
      <c r="N105" s="33" t="s">
        <v>36</v>
      </c>
      <c r="O105" s="33"/>
      <c r="P105" s="12">
        <v>10</v>
      </c>
      <c r="Q105" s="12">
        <v>236</v>
      </c>
      <c r="R105" s="12">
        <v>2365</v>
      </c>
    </row>
    <row r="106" spans="1:18">
      <c r="A106" s="11" t="s">
        <v>37</v>
      </c>
      <c r="B106" s="5">
        <v>438</v>
      </c>
      <c r="C106" s="31">
        <v>514</v>
      </c>
      <c r="D106" s="32"/>
      <c r="E106" s="5">
        <v>514</v>
      </c>
      <c r="F106" s="5">
        <v>183</v>
      </c>
      <c r="G106" s="5">
        <v>0</v>
      </c>
      <c r="H106" s="5">
        <v>155</v>
      </c>
      <c r="I106" s="5"/>
      <c r="N106" s="33" t="s">
        <v>37</v>
      </c>
      <c r="O106" s="33"/>
      <c r="P106" s="5">
        <v>0</v>
      </c>
      <c r="Q106" s="5">
        <v>235</v>
      </c>
      <c r="R106" s="5">
        <v>203</v>
      </c>
    </row>
    <row r="107" spans="1:18">
      <c r="A107" s="11" t="s">
        <v>38</v>
      </c>
      <c r="B107" s="5">
        <v>285</v>
      </c>
      <c r="C107" s="31">
        <v>356</v>
      </c>
      <c r="D107" s="32"/>
      <c r="E107" s="5">
        <v>332</v>
      </c>
      <c r="F107" s="13">
        <v>1298</v>
      </c>
      <c r="G107" s="5">
        <v>0</v>
      </c>
      <c r="H107" s="5">
        <v>67</v>
      </c>
      <c r="I107" s="5"/>
      <c r="N107" s="33" t="s">
        <v>38</v>
      </c>
      <c r="O107" s="33"/>
      <c r="P107" s="5">
        <v>0</v>
      </c>
      <c r="Q107" s="13">
        <v>1298</v>
      </c>
      <c r="R107" s="5">
        <v>0</v>
      </c>
    </row>
    <row r="108" spans="1:18">
      <c r="A108" s="11" t="s">
        <v>39</v>
      </c>
      <c r="B108" s="5">
        <v>187</v>
      </c>
      <c r="C108" s="31">
        <v>225</v>
      </c>
      <c r="D108" s="32"/>
      <c r="E108" s="5">
        <v>255</v>
      </c>
      <c r="F108" s="5">
        <v>183</v>
      </c>
      <c r="G108" s="5">
        <v>0</v>
      </c>
      <c r="H108" s="5">
        <v>71</v>
      </c>
      <c r="I108" s="5"/>
      <c r="N108" s="33" t="s">
        <v>39</v>
      </c>
      <c r="O108" s="33"/>
      <c r="P108" s="5">
        <v>83</v>
      </c>
      <c r="Q108" s="5">
        <v>0</v>
      </c>
      <c r="R108" s="5">
        <v>104</v>
      </c>
    </row>
    <row r="109" spans="1:18">
      <c r="A109" s="11" t="s">
        <v>40</v>
      </c>
      <c r="B109" s="5">
        <v>337</v>
      </c>
      <c r="C109" s="31">
        <v>392</v>
      </c>
      <c r="D109" s="32"/>
      <c r="E109" s="5">
        <v>388</v>
      </c>
      <c r="F109" s="5">
        <v>336</v>
      </c>
      <c r="G109" s="5">
        <v>0</v>
      </c>
      <c r="H109" s="5">
        <v>97</v>
      </c>
      <c r="I109" s="5"/>
      <c r="N109" s="33" t="s">
        <v>40</v>
      </c>
      <c r="O109" s="33"/>
      <c r="P109" s="5">
        <v>0</v>
      </c>
      <c r="Q109" s="5">
        <v>7</v>
      </c>
      <c r="R109" s="5">
        <v>330</v>
      </c>
    </row>
    <row r="110" spans="1:18">
      <c r="A110" s="11" t="s">
        <v>41</v>
      </c>
      <c r="B110" s="5">
        <v>263</v>
      </c>
      <c r="C110" s="31">
        <v>299</v>
      </c>
      <c r="D110" s="32"/>
      <c r="E110" s="5">
        <v>375</v>
      </c>
      <c r="F110" s="5">
        <v>263</v>
      </c>
      <c r="G110" s="5">
        <v>0</v>
      </c>
      <c r="H110" s="5">
        <v>95</v>
      </c>
      <c r="I110" s="5"/>
      <c r="N110" s="33" t="s">
        <v>41</v>
      </c>
      <c r="O110" s="33"/>
      <c r="P110" s="5">
        <v>0</v>
      </c>
      <c r="Q110" s="5">
        <v>263</v>
      </c>
      <c r="R110" s="5">
        <v>0</v>
      </c>
    </row>
    <row r="111" spans="1:18">
      <c r="A111" s="11" t="s">
        <v>42</v>
      </c>
      <c r="B111" s="5">
        <v>119</v>
      </c>
      <c r="C111" s="31">
        <v>128</v>
      </c>
      <c r="D111" s="32"/>
      <c r="E111" s="5">
        <v>112</v>
      </c>
      <c r="F111" s="5">
        <v>119</v>
      </c>
      <c r="G111" s="5">
        <v>0</v>
      </c>
      <c r="H111" s="5">
        <v>39</v>
      </c>
      <c r="I111" s="5"/>
      <c r="N111" s="33" t="s">
        <v>42</v>
      </c>
      <c r="O111" s="33"/>
      <c r="P111" s="5">
        <v>0</v>
      </c>
      <c r="Q111" s="5">
        <v>37</v>
      </c>
      <c r="R111" s="5">
        <v>82</v>
      </c>
    </row>
    <row r="112" spans="1:18">
      <c r="A112" s="11" t="s">
        <v>43</v>
      </c>
      <c r="B112" s="5">
        <v>1600</v>
      </c>
      <c r="C112" s="31">
        <v>1824</v>
      </c>
      <c r="D112" s="32"/>
      <c r="E112" s="5">
        <v>1714</v>
      </c>
      <c r="F112" s="13">
        <v>2350</v>
      </c>
      <c r="G112" s="5">
        <v>0</v>
      </c>
      <c r="H112" s="5">
        <v>590</v>
      </c>
      <c r="I112" s="5"/>
      <c r="N112" s="33" t="s">
        <v>43</v>
      </c>
      <c r="O112" s="33"/>
      <c r="P112" s="5">
        <v>127</v>
      </c>
      <c r="Q112" s="5">
        <v>516</v>
      </c>
      <c r="R112" s="5">
        <v>860</v>
      </c>
    </row>
    <row r="113" spans="1:18">
      <c r="A113" s="11" t="s">
        <v>44</v>
      </c>
      <c r="B113" s="5">
        <v>227</v>
      </c>
      <c r="C113" s="31">
        <v>265</v>
      </c>
      <c r="D113" s="32"/>
      <c r="E113" s="5">
        <v>313</v>
      </c>
      <c r="F113" s="5">
        <v>227</v>
      </c>
      <c r="G113" s="5">
        <v>0</v>
      </c>
      <c r="H113" s="5">
        <v>96</v>
      </c>
      <c r="I113" s="5"/>
      <c r="N113" s="33" t="s">
        <v>44</v>
      </c>
      <c r="O113" s="33"/>
      <c r="P113" s="5">
        <v>0</v>
      </c>
      <c r="Q113" s="5">
        <v>61</v>
      </c>
      <c r="R113" s="5">
        <v>166</v>
      </c>
    </row>
    <row r="114" spans="1:18">
      <c r="A114" s="11" t="s">
        <v>45</v>
      </c>
      <c r="B114" s="5">
        <v>633</v>
      </c>
      <c r="C114" s="31">
        <v>784</v>
      </c>
      <c r="D114" s="32"/>
      <c r="E114" s="5">
        <v>871</v>
      </c>
      <c r="F114" s="5">
        <v>612</v>
      </c>
      <c r="G114" s="5">
        <v>0</v>
      </c>
      <c r="H114" s="5">
        <v>172</v>
      </c>
      <c r="I114" s="5"/>
      <c r="N114" s="33" t="s">
        <v>45</v>
      </c>
      <c r="O114" s="33"/>
      <c r="P114" s="5">
        <v>7</v>
      </c>
      <c r="Q114" s="5">
        <v>50</v>
      </c>
      <c r="R114" s="5">
        <v>576</v>
      </c>
    </row>
    <row r="115" spans="1:18">
      <c r="A115" s="22" t="s">
        <v>23</v>
      </c>
      <c r="B115" s="22">
        <f>SUM(B93:B114)</f>
        <v>12109</v>
      </c>
      <c r="C115" s="28">
        <f>SUM(C97:C114)</f>
        <v>11138</v>
      </c>
      <c r="D115" s="29"/>
      <c r="E115" s="22">
        <f>SUM(E93:E114)</f>
        <v>14433</v>
      </c>
      <c r="F115" s="22">
        <f>SUM(F93:F114)</f>
        <v>13479</v>
      </c>
      <c r="G115" s="22">
        <f>SUM(G93:G114)</f>
        <v>35</v>
      </c>
      <c r="H115" s="22">
        <f>SUM(H93:H114)</f>
        <v>3698</v>
      </c>
      <c r="I115" s="22">
        <f>SUM(I94:I114)</f>
        <v>0</v>
      </c>
      <c r="N115" s="30" t="s">
        <v>23</v>
      </c>
      <c r="O115" s="30"/>
      <c r="P115" s="21">
        <f t="shared" ref="P115:R115" si="11">SUM(P93:P114)</f>
        <v>636</v>
      </c>
      <c r="Q115" s="21">
        <f t="shared" si="11"/>
        <v>3254</v>
      </c>
      <c r="R115" s="21">
        <f t="shared" si="11"/>
        <v>9128</v>
      </c>
    </row>
  </sheetData>
  <mergeCells count="54">
    <mergeCell ref="A2:R2"/>
    <mergeCell ref="A3:R3"/>
    <mergeCell ref="A4:R4"/>
    <mergeCell ref="A6:R6"/>
    <mergeCell ref="A8:R8"/>
    <mergeCell ref="N91:R91"/>
    <mergeCell ref="C92:D92"/>
    <mergeCell ref="N92:O92"/>
    <mergeCell ref="C93:D93"/>
    <mergeCell ref="N93:O93"/>
    <mergeCell ref="C94:D94"/>
    <mergeCell ref="N94:O94"/>
    <mergeCell ref="C95:D95"/>
    <mergeCell ref="N95:O95"/>
    <mergeCell ref="C96:D96"/>
    <mergeCell ref="N96:O96"/>
    <mergeCell ref="C97:D97"/>
    <mergeCell ref="N97:O97"/>
    <mergeCell ref="C98:D98"/>
    <mergeCell ref="N98:O98"/>
    <mergeCell ref="C99:D99"/>
    <mergeCell ref="N99:O99"/>
    <mergeCell ref="C100:D100"/>
    <mergeCell ref="N100:O100"/>
    <mergeCell ref="C101:D101"/>
    <mergeCell ref="N101:O101"/>
    <mergeCell ref="C102:D102"/>
    <mergeCell ref="N102:O102"/>
    <mergeCell ref="C103:D103"/>
    <mergeCell ref="N103:O103"/>
    <mergeCell ref="C104:D104"/>
    <mergeCell ref="N104:O104"/>
    <mergeCell ref="C105:D105"/>
    <mergeCell ref="N105:O105"/>
    <mergeCell ref="C106:D106"/>
    <mergeCell ref="N106:O106"/>
    <mergeCell ref="C107:D107"/>
    <mergeCell ref="N107:O107"/>
    <mergeCell ref="C108:D108"/>
    <mergeCell ref="N108:O108"/>
    <mergeCell ref="C109:D109"/>
    <mergeCell ref="N109:O109"/>
    <mergeCell ref="C110:D110"/>
    <mergeCell ref="N110:O110"/>
    <mergeCell ref="C111:D111"/>
    <mergeCell ref="N111:O111"/>
    <mergeCell ref="C115:D115"/>
    <mergeCell ref="N115:O115"/>
    <mergeCell ref="C112:D112"/>
    <mergeCell ref="N112:O112"/>
    <mergeCell ref="C113:D113"/>
    <mergeCell ref="N113:O113"/>
    <mergeCell ref="C114:D114"/>
    <mergeCell ref="N114:O114"/>
  </mergeCells>
  <pageMargins left="0.69930555555555596" right="0.69930555555555596" top="0.75" bottom="0.75" header="0.3" footer="0.3"/>
  <pageSetup paperSize="1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pop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gacayan</dc:creator>
  <cp:lastModifiedBy>Edgen Bill Bangit</cp:lastModifiedBy>
  <dcterms:created xsi:type="dcterms:W3CDTF">2023-02-05T09:30:00Z</dcterms:created>
  <dcterms:modified xsi:type="dcterms:W3CDTF">2025-10-19T08:49:40Z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80C8F8860955F979D45352674A67D85F_43</vt:lpwstr>
  </property>
</Properties>
</file>